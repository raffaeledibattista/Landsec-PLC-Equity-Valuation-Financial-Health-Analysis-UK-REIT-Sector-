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esktop/Assignments &amp; Projects/"/>
    </mc:Choice>
  </mc:AlternateContent>
  <xr:revisionPtr revIDLastSave="0" documentId="8_{FEEE0A5A-A27B-5E49-AFC6-D8F960EA9340}" xr6:coauthVersionLast="47" xr6:coauthVersionMax="47" xr10:uidLastSave="{00000000-0000-0000-0000-000000000000}"/>
  <bookViews>
    <workbookView xWindow="0" yWindow="660" windowWidth="30240" windowHeight="17740" xr2:uid="{9DED6FA7-C350-9A4F-BEC5-C59C41E3986E}"/>
  </bookViews>
  <sheets>
    <sheet name="LAND generalities" sheetId="1" r:id="rId1"/>
    <sheet name="LAND Income Statement" sheetId="3" r:id="rId2"/>
    <sheet name="LAND Valuation-Multiples" sheetId="2" r:id="rId3"/>
    <sheet name="LAND Valuation-DDM" sheetId="4" r:id="rId4"/>
    <sheet name="LAND Final Valuation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4" l="1"/>
  <c r="D20" i="4"/>
  <c r="M23" i="3"/>
  <c r="L57" i="3"/>
  <c r="M41" i="3"/>
  <c r="O32" i="3"/>
  <c r="N32" i="3"/>
  <c r="M10" i="3"/>
  <c r="I17" i="6"/>
  <c r="I16" i="6"/>
  <c r="J13" i="6"/>
  <c r="J14" i="6" s="1"/>
  <c r="I13" i="6"/>
  <c r="I12" i="6"/>
  <c r="I14" i="6" s="1"/>
  <c r="D21" i="4"/>
  <c r="J20" i="2"/>
  <c r="J17" i="2"/>
  <c r="J16" i="2"/>
  <c r="J9" i="2"/>
  <c r="K18" i="4"/>
  <c r="G18" i="4"/>
  <c r="D19" i="4"/>
  <c r="L9" i="2"/>
  <c r="N9" i="2"/>
  <c r="M9" i="2"/>
  <c r="K9" i="2"/>
  <c r="G30" i="2"/>
  <c r="D30" i="2"/>
  <c r="F22" i="2"/>
  <c r="E22" i="2"/>
  <c r="D21" i="2"/>
  <c r="D20" i="2"/>
  <c r="D22" i="2" s="1"/>
  <c r="D17" i="2"/>
  <c r="D16" i="2"/>
  <c r="D15" i="2"/>
  <c r="C60" i="3"/>
  <c r="K12" i="4"/>
  <c r="J12" i="4"/>
  <c r="I12" i="4"/>
  <c r="H12" i="4"/>
  <c r="G12" i="4"/>
  <c r="K11" i="4"/>
  <c r="J11" i="4"/>
  <c r="I11" i="4"/>
  <c r="H11" i="4"/>
  <c r="G11" i="4"/>
  <c r="M63" i="3"/>
  <c r="L63" i="3"/>
  <c r="J63" i="3"/>
  <c r="I63" i="3"/>
  <c r="H63" i="3"/>
  <c r="J62" i="3"/>
  <c r="G63" i="3"/>
  <c r="I62" i="3"/>
  <c r="H62" i="3"/>
  <c r="G62" i="3"/>
  <c r="F62" i="3"/>
  <c r="E61" i="3"/>
  <c r="F61" i="3"/>
  <c r="G61" i="3"/>
  <c r="H61" i="3"/>
  <c r="I61" i="3"/>
  <c r="J61" i="3"/>
  <c r="J60" i="3"/>
  <c r="I60" i="3"/>
  <c r="H60" i="3"/>
  <c r="G60" i="3"/>
  <c r="F63" i="3"/>
  <c r="F60" i="3"/>
  <c r="J52" i="3"/>
  <c r="I52" i="3"/>
  <c r="H52" i="3"/>
  <c r="G52" i="3"/>
  <c r="F52" i="3"/>
  <c r="J51" i="3"/>
  <c r="I51" i="3"/>
  <c r="H51" i="3"/>
  <c r="G51" i="3"/>
  <c r="J50" i="3"/>
  <c r="I50" i="3"/>
  <c r="H50" i="3"/>
  <c r="G50" i="3"/>
  <c r="J47" i="3"/>
  <c r="I47" i="3"/>
  <c r="H47" i="3"/>
  <c r="G47" i="3"/>
  <c r="J46" i="3"/>
  <c r="I46" i="3"/>
  <c r="H46" i="3"/>
  <c r="G46" i="3"/>
  <c r="G53" i="3"/>
  <c r="J48" i="3"/>
  <c r="I48" i="3"/>
  <c r="H48" i="3"/>
  <c r="G48" i="3"/>
  <c r="F48" i="3"/>
  <c r="I53" i="3"/>
  <c r="J53" i="3"/>
  <c r="H53" i="3"/>
  <c r="J54" i="3"/>
  <c r="I54" i="3"/>
  <c r="H54" i="3"/>
  <c r="G54" i="3"/>
  <c r="F54" i="3"/>
  <c r="F53" i="3"/>
  <c r="F51" i="3"/>
  <c r="F50" i="3"/>
  <c r="F47" i="3"/>
  <c r="F46" i="3"/>
  <c r="E63" i="3"/>
  <c r="J57" i="3"/>
  <c r="F55" i="3"/>
  <c r="G55" i="3"/>
  <c r="H55" i="3"/>
  <c r="I55" i="3"/>
  <c r="J55" i="3"/>
  <c r="F57" i="3"/>
  <c r="G41" i="3"/>
  <c r="G37" i="3"/>
  <c r="H39" i="3"/>
  <c r="J40" i="3"/>
  <c r="J39" i="3"/>
  <c r="J37" i="3"/>
  <c r="I37" i="3"/>
  <c r="H36" i="3"/>
  <c r="I35" i="3"/>
  <c r="G34" i="3"/>
  <c r="J25" i="3"/>
  <c r="J26" i="3"/>
  <c r="J27" i="3"/>
  <c r="J32" i="3"/>
  <c r="J31" i="3"/>
  <c r="G33" i="3"/>
  <c r="H33" i="3" s="1"/>
  <c r="I33" i="3" s="1"/>
  <c r="J33" i="3" s="1"/>
  <c r="F33" i="3"/>
  <c r="G32" i="3"/>
  <c r="H32" i="3" s="1"/>
  <c r="I32" i="3" s="1"/>
  <c r="F32" i="3"/>
  <c r="G31" i="3"/>
  <c r="H31" i="3" s="1"/>
  <c r="I31" i="3" s="1"/>
  <c r="F31" i="3"/>
  <c r="G30" i="3"/>
  <c r="H30" i="3" s="1"/>
  <c r="I30" i="3" s="1"/>
  <c r="J30" i="3" s="1"/>
  <c r="F30" i="3"/>
  <c r="G29" i="3"/>
  <c r="H29" i="3" s="1"/>
  <c r="I29" i="3" s="1"/>
  <c r="J29" i="3" s="1"/>
  <c r="F29" i="3"/>
  <c r="L29" i="3"/>
  <c r="M31" i="3"/>
  <c r="G27" i="3"/>
  <c r="H27" i="3" s="1"/>
  <c r="I27" i="3" s="1"/>
  <c r="F27" i="3"/>
  <c r="M28" i="3"/>
  <c r="G25" i="3"/>
  <c r="H25" i="3"/>
  <c r="I25" i="3" s="1"/>
  <c r="F25" i="3"/>
  <c r="M25" i="3"/>
  <c r="G26" i="3"/>
  <c r="F26" i="3"/>
  <c r="M26" i="3"/>
  <c r="E40" i="3"/>
  <c r="M59" i="3"/>
  <c r="L59" i="3"/>
  <c r="G59" i="3"/>
  <c r="H59" i="3" s="1"/>
  <c r="I59" i="3" s="1"/>
  <c r="J59" i="3" s="1"/>
  <c r="F59" i="3"/>
  <c r="E41" i="3"/>
  <c r="C41" i="3"/>
  <c r="C59" i="3"/>
  <c r="C40" i="3"/>
  <c r="M58" i="3"/>
  <c r="O7" i="3"/>
  <c r="N7" i="3"/>
  <c r="L30" i="3"/>
  <c r="M27" i="3"/>
  <c r="L27" i="3"/>
  <c r="M24" i="3"/>
  <c r="M30" i="3" s="1"/>
  <c r="M12" i="3"/>
  <c r="M38" i="3"/>
  <c r="L23" i="3"/>
  <c r="L19" i="3"/>
  <c r="L12" i="3"/>
  <c r="L10" i="3"/>
  <c r="M19" i="3"/>
  <c r="I19" i="3"/>
  <c r="H10" i="3"/>
  <c r="I8" i="3"/>
  <c r="H8" i="3"/>
  <c r="G8" i="3"/>
  <c r="F13" i="3"/>
  <c r="J56" i="3"/>
  <c r="I56" i="3"/>
  <c r="H56" i="3"/>
  <c r="G56" i="3"/>
  <c r="F56" i="3"/>
  <c r="J49" i="3"/>
  <c r="I49" i="3"/>
  <c r="H49" i="3"/>
  <c r="G49" i="3"/>
  <c r="F49" i="3"/>
  <c r="D37" i="3"/>
  <c r="E37" i="3"/>
  <c r="I36" i="3"/>
  <c r="J36" i="3" s="1"/>
  <c r="G36" i="3"/>
  <c r="F36" i="3"/>
  <c r="M36" i="3"/>
  <c r="G38" i="3"/>
  <c r="H38" i="3"/>
  <c r="J38" i="3" s="1"/>
  <c r="I38" i="3"/>
  <c r="F38" i="3"/>
  <c r="G35" i="3"/>
  <c r="H35" i="3" s="1"/>
  <c r="J35" i="3" s="1"/>
  <c r="F35" i="3"/>
  <c r="F34" i="3"/>
  <c r="F37" i="3" s="1"/>
  <c r="L15" i="3"/>
  <c r="M14" i="3"/>
  <c r="M15" i="3" s="1"/>
  <c r="L14" i="3"/>
  <c r="L24" i="3"/>
  <c r="J28" i="3"/>
  <c r="I28" i="3"/>
  <c r="H28" i="3"/>
  <c r="G28" i="3"/>
  <c r="F28" i="3"/>
  <c r="J24" i="3"/>
  <c r="I24" i="3"/>
  <c r="H24" i="3"/>
  <c r="G24" i="3"/>
  <c r="F24" i="3"/>
  <c r="F20" i="3"/>
  <c r="G20" i="3" s="1"/>
  <c r="H20" i="3" s="1"/>
  <c r="I20" i="3" s="1"/>
  <c r="J20" i="3" s="1"/>
  <c r="G22" i="3"/>
  <c r="H22" i="3" s="1"/>
  <c r="I22" i="3" s="1"/>
  <c r="J22" i="3" s="1"/>
  <c r="F22" i="3"/>
  <c r="L11" i="3"/>
  <c r="M9" i="3"/>
  <c r="M11" i="3" s="1"/>
  <c r="M16" i="3"/>
  <c r="M13" i="3"/>
  <c r="F21" i="3"/>
  <c r="G21" i="3" s="1"/>
  <c r="H21" i="3" s="1"/>
  <c r="I21" i="3" s="1"/>
  <c r="J21" i="3" s="1"/>
  <c r="E19" i="3"/>
  <c r="G18" i="3"/>
  <c r="H18" i="3" s="1"/>
  <c r="I18" i="3" s="1"/>
  <c r="J18" i="3" s="1"/>
  <c r="F18" i="3"/>
  <c r="F17" i="3"/>
  <c r="G17" i="3" s="1"/>
  <c r="H17" i="3" s="1"/>
  <c r="I17" i="3" s="1"/>
  <c r="J17" i="3" s="1"/>
  <c r="F16" i="3"/>
  <c r="G16" i="3" s="1"/>
  <c r="H16" i="3" s="1"/>
  <c r="I16" i="3" s="1"/>
  <c r="J16" i="3" s="1"/>
  <c r="F15" i="3"/>
  <c r="G15" i="3" s="1"/>
  <c r="H15" i="3" s="1"/>
  <c r="I15" i="3" s="1"/>
  <c r="J15" i="3" s="1"/>
  <c r="F14" i="3"/>
  <c r="G14" i="3" s="1"/>
  <c r="H14" i="3" s="1"/>
  <c r="I14" i="3" s="1"/>
  <c r="J14" i="3" s="1"/>
  <c r="G13" i="3"/>
  <c r="H13" i="3" s="1"/>
  <c r="I13" i="3" s="1"/>
  <c r="J13" i="3" s="1"/>
  <c r="F8" i="3"/>
  <c r="J8" i="3" s="1"/>
  <c r="J10" i="3" s="1"/>
  <c r="J12" i="3" s="1"/>
  <c r="D11" i="4"/>
  <c r="E11" i="4"/>
  <c r="F11" i="4"/>
  <c r="D59" i="3"/>
  <c r="E55" i="3"/>
  <c r="E48" i="3"/>
  <c r="E54" i="3"/>
  <c r="E53" i="3"/>
  <c r="E52" i="3"/>
  <c r="E51" i="3"/>
  <c r="E50" i="3"/>
  <c r="E47" i="3"/>
  <c r="E46" i="3"/>
  <c r="E13" i="3"/>
  <c r="E10" i="3"/>
  <c r="E12" i="3" s="1"/>
  <c r="C56" i="3"/>
  <c r="C54" i="3"/>
  <c r="C53" i="3"/>
  <c r="C52" i="3"/>
  <c r="C51" i="3"/>
  <c r="C48" i="3"/>
  <c r="C46" i="3"/>
  <c r="C47" i="3"/>
  <c r="C13" i="3"/>
  <c r="C10" i="3"/>
  <c r="C12" i="3" s="1"/>
  <c r="G39" i="3" l="1"/>
  <c r="G44" i="3" s="1"/>
  <c r="G57" i="3" s="1"/>
  <c r="H26" i="3"/>
  <c r="I26" i="3" s="1"/>
  <c r="F39" i="3"/>
  <c r="J19" i="3"/>
  <c r="J23" i="3" s="1"/>
  <c r="F10" i="3"/>
  <c r="F12" i="3" s="1"/>
  <c r="F19" i="3" s="1"/>
  <c r="F23" i="3" s="1"/>
  <c r="H12" i="3"/>
  <c r="I10" i="3"/>
  <c r="I12" i="3" s="1"/>
  <c r="I23" i="3" s="1"/>
  <c r="G10" i="3"/>
  <c r="G12" i="3" s="1"/>
  <c r="G19" i="3" s="1"/>
  <c r="G23" i="3" s="1"/>
  <c r="H19" i="3"/>
  <c r="H23" i="3" s="1"/>
  <c r="E23" i="3"/>
  <c r="E34" i="3" s="1"/>
  <c r="E39" i="3" s="1"/>
  <c r="C19" i="3"/>
  <c r="C23" i="3" s="1"/>
  <c r="C34" i="3" s="1"/>
  <c r="C37" i="3" s="1"/>
  <c r="C39" i="3" s="1"/>
  <c r="E44" i="3"/>
  <c r="E57" i="3" s="1"/>
  <c r="C44" i="3"/>
  <c r="C57" i="3" s="1"/>
  <c r="D54" i="3"/>
  <c r="D53" i="3"/>
  <c r="D52" i="3"/>
  <c r="D51" i="3"/>
  <c r="D50" i="3"/>
  <c r="D49" i="3"/>
  <c r="D48" i="3"/>
  <c r="B48" i="3"/>
  <c r="D47" i="3"/>
  <c r="D46" i="3"/>
  <c r="B47" i="3"/>
  <c r="B46" i="3"/>
  <c r="D10" i="3"/>
  <c r="D12" i="3" s="1"/>
  <c r="D19" i="3" s="1"/>
  <c r="D23" i="3" s="1"/>
  <c r="D34" i="3" s="1"/>
  <c r="D39" i="3" s="1"/>
  <c r="N18" i="2"/>
  <c r="J15" i="2"/>
  <c r="H16" i="4" l="1"/>
  <c r="I16" i="4"/>
  <c r="G16" i="4"/>
  <c r="K16" i="4"/>
  <c r="J16" i="4"/>
  <c r="L61" i="3"/>
  <c r="G40" i="3"/>
  <c r="L34" i="3"/>
  <c r="L37" i="3"/>
  <c r="L39" i="3"/>
  <c r="H34" i="3"/>
  <c r="H37" i="3" s="1"/>
  <c r="H44" i="3" s="1"/>
  <c r="F40" i="3"/>
  <c r="F41" i="3"/>
  <c r="F44" i="3"/>
  <c r="I34" i="3"/>
  <c r="I39" i="3" s="1"/>
  <c r="E60" i="3"/>
  <c r="F12" i="4" s="1"/>
  <c r="C61" i="3"/>
  <c r="C63" i="3"/>
  <c r="D12" i="4" s="1"/>
  <c r="D41" i="3"/>
  <c r="D40" i="3"/>
  <c r="D44" i="3"/>
  <c r="D57" i="3" s="1"/>
  <c r="D61" i="3" s="1"/>
  <c r="N10" i="2"/>
  <c r="E30" i="2"/>
  <c r="C22" i="2"/>
  <c r="E26" i="2"/>
  <c r="D26" i="2"/>
  <c r="K28" i="1"/>
  <c r="L28" i="1" s="1"/>
  <c r="D28" i="1"/>
  <c r="I18" i="4" l="1"/>
  <c r="H18" i="4"/>
  <c r="J18" i="4"/>
  <c r="D24" i="4" s="1"/>
  <c r="F30" i="2"/>
  <c r="L60" i="3"/>
  <c r="L40" i="3"/>
  <c r="L41" i="3"/>
  <c r="H40" i="3"/>
  <c r="H41" i="3"/>
  <c r="I44" i="3"/>
  <c r="I40" i="3"/>
  <c r="I41" i="3"/>
  <c r="H57" i="3"/>
  <c r="D60" i="3"/>
  <c r="D63" i="3" s="1"/>
  <c r="E12" i="4" s="1"/>
  <c r="M57" i="3" l="1"/>
  <c r="J34" i="3"/>
  <c r="I57" i="3"/>
  <c r="M60" i="3" l="1"/>
  <c r="M61" i="3"/>
  <c r="M34" i="3"/>
  <c r="M37" i="3" l="1"/>
  <c r="J44" i="3" l="1"/>
  <c r="M39" i="3"/>
  <c r="M40" i="3"/>
  <c r="J41" i="3"/>
</calcChain>
</file>

<file path=xl/sharedStrings.xml><?xml version="1.0" encoding="utf-8"?>
<sst xmlns="http://schemas.openxmlformats.org/spreadsheetml/2006/main" count="253" uniqueCount="177">
  <si>
    <t>Portfolio Diversity</t>
  </si>
  <si>
    <t>Offices (Workplaces)</t>
  </si>
  <si>
    <t>Major Retail Destinations</t>
  </si>
  <si>
    <t>Mixed-use</t>
  </si>
  <si>
    <t>Urban Neighbourhoods (Forthcoming)</t>
  </si>
  <si>
    <t>Victoria, London (HQ)</t>
  </si>
  <si>
    <t>Trinity Leeds, Leeds</t>
  </si>
  <si>
    <t>Liverpoool ONE, Liverpool</t>
  </si>
  <si>
    <t>Bluewater, Kent</t>
  </si>
  <si>
    <t>St. David's, Cardiff</t>
  </si>
  <si>
    <t>Gunwharf Quays, Portsmouth</t>
  </si>
  <si>
    <t>Westgate, Oxford</t>
  </si>
  <si>
    <t>Buchanan Galleries, Glasgow</t>
  </si>
  <si>
    <t>Cardigan Fields, Leeds</t>
  </si>
  <si>
    <t>Castle Quarter, Oxford</t>
  </si>
  <si>
    <t>Fountain Park, Edinburgh</t>
  </si>
  <si>
    <t>MediaCity, Salford</t>
  </si>
  <si>
    <t>The Zig Zag Building, London</t>
  </si>
  <si>
    <t>Mayfield, Manchester</t>
  </si>
  <si>
    <t>Lewisham Shopping Centre, London</t>
  </si>
  <si>
    <t>Brighton Marina, Brighton</t>
  </si>
  <si>
    <t>Bentley Bridge Leisure Park, Wolverhampton</t>
  </si>
  <si>
    <t>Eureka Leisure Park, Ashford</t>
  </si>
  <si>
    <t>Leisure and Retail Parks</t>
  </si>
  <si>
    <t>Cambridge Leisure Park, Cambridge</t>
  </si>
  <si>
    <t>Kingsmead Centre, Bath</t>
  </si>
  <si>
    <t>Ravenside Retail Park, Chesterfield</t>
  </si>
  <si>
    <t>West End &amp; Southwark, London</t>
  </si>
  <si>
    <t>East Kent, Leisure Park</t>
  </si>
  <si>
    <t xml:space="preserve">Myo Victoria Street, London </t>
  </si>
  <si>
    <t>Myo Liverpool Street, London</t>
  </si>
  <si>
    <t>Myo St Paul's, London</t>
  </si>
  <si>
    <t>Myo Bankside, London</t>
  </si>
  <si>
    <t>Myo Piccadilly, London</t>
  </si>
  <si>
    <t>Myo King's Cross, London</t>
  </si>
  <si>
    <t>Myo New Street Square, London</t>
  </si>
  <si>
    <t>Regional Retail &amp; Leisure Portfolio (40 more properties)</t>
  </si>
  <si>
    <t>London (UK)</t>
  </si>
  <si>
    <t>Elsewhere (UK)</t>
  </si>
  <si>
    <t xml:space="preserve">Landsec </t>
  </si>
  <si>
    <t>British Land</t>
  </si>
  <si>
    <t>Derwent London</t>
  </si>
  <si>
    <t>Balance Sheet</t>
  </si>
  <si>
    <t>Income Statement</t>
  </si>
  <si>
    <t>Revenues</t>
  </si>
  <si>
    <t>EBITDA</t>
  </si>
  <si>
    <t>Market Data</t>
  </si>
  <si>
    <t>EPRA EPS (in p)</t>
  </si>
  <si>
    <t xml:space="preserve">Assets </t>
  </si>
  <si>
    <t>(£M)</t>
  </si>
  <si>
    <t xml:space="preserve">NTA (Net Worth) </t>
  </si>
  <si>
    <t xml:space="preserve">EPRA Earnings </t>
  </si>
  <si>
    <t>Shares Outsanding  (£M)</t>
  </si>
  <si>
    <t>Share Price (in p)</t>
  </si>
  <si>
    <t>Market Cap (in £M)</t>
  </si>
  <si>
    <t>Multiples</t>
  </si>
  <si>
    <t>MV/BV</t>
  </si>
  <si>
    <t>EV/EBITDA</t>
  </si>
  <si>
    <t>Average</t>
  </si>
  <si>
    <t>Landsec Implied Equity Value (£M)</t>
  </si>
  <si>
    <t xml:space="preserve">Net Debt </t>
  </si>
  <si>
    <t>P/EPRA EPS  Ratio</t>
  </si>
  <si>
    <t>0.71 x</t>
  </si>
  <si>
    <t>20.95 x</t>
  </si>
  <si>
    <t>21.39 x</t>
  </si>
  <si>
    <t>21.84 x</t>
  </si>
  <si>
    <t>0.57 x</t>
  </si>
  <si>
    <t>0.64 x</t>
  </si>
  <si>
    <t>15.88 x</t>
  </si>
  <si>
    <t>18.76 x</t>
  </si>
  <si>
    <t>Forecast</t>
  </si>
  <si>
    <t>Risk-free rate (Rf)</t>
  </si>
  <si>
    <t>Landsec 𝛽</t>
  </si>
  <si>
    <t>Makret Risk Premium (Rm-Rf)</t>
  </si>
  <si>
    <t>Average P/EPRA EPS Ratio</t>
  </si>
  <si>
    <t>Terminal Value (in p)</t>
  </si>
  <si>
    <t>Discount Factor (Cost of Equity)</t>
  </si>
  <si>
    <t>Landsec Implied Share Price (in p)</t>
  </si>
  <si>
    <t>Cost of Equity (Ke)</t>
  </si>
  <si>
    <t>Inputs</t>
  </si>
  <si>
    <r>
      <rPr>
        <sz val="12"/>
        <color rgb="FFFFFF00"/>
        <rFont val="Aptos Narrow"/>
        <family val="2"/>
        <scheme val="minor"/>
      </rPr>
      <t xml:space="preserve">                            </t>
    </r>
    <r>
      <rPr>
        <sz val="12"/>
        <color rgb="FFFFFF00"/>
        <rFont val="Aptos Narrow (Corpo)"/>
      </rPr>
      <t>vvvvvvv</t>
    </r>
    <r>
      <rPr>
        <sz val="12"/>
        <color theme="1"/>
        <rFont val="Aptos Narrow"/>
        <family val="2"/>
        <scheme val="minor"/>
      </rPr>
      <t xml:space="preserve"> Valuation </t>
    </r>
  </si>
  <si>
    <t>Dividend per share (p)</t>
  </si>
  <si>
    <t>Weighted average number of Ordinary Shares</t>
  </si>
  <si>
    <t>Dividend Payout Ratio (%)</t>
  </si>
  <si>
    <t>Rental income</t>
  </si>
  <si>
    <t>Finance lease interest</t>
  </si>
  <si>
    <t>Gross rental income (before rents payable)</t>
  </si>
  <si>
    <t>Rents payable</t>
  </si>
  <si>
    <t>Gross rental income (after rents payable)</t>
  </si>
  <si>
    <t>Net service charge expense</t>
  </si>
  <si>
    <t>Other property related income</t>
  </si>
  <si>
    <t>Direct property expenditure</t>
  </si>
  <si>
    <t>Movement in bad and doubtful debt provision</t>
  </si>
  <si>
    <t>Segment net rental income</t>
  </si>
  <si>
    <t>Other income</t>
  </si>
  <si>
    <t>Administrative expenses</t>
  </si>
  <si>
    <t>Depreciation, including amortisation of software</t>
  </si>
  <si>
    <t>Share of post-tax loss from joint ventures</t>
  </si>
  <si>
    <t>Net development contract and transaction expenditure</t>
  </si>
  <si>
    <t>Fair value gain on remeasurement of investment</t>
  </si>
  <si>
    <t>Impairment of amounts due from joint ventures</t>
  </si>
  <si>
    <t>Impairment of goodwill</t>
  </si>
  <si>
    <t>Impairment of trading properties</t>
  </si>
  <si>
    <t>Depreciation</t>
  </si>
  <si>
    <t>Other costs</t>
  </si>
  <si>
    <t>Operating (loss)/profit</t>
  </si>
  <si>
    <t>Finance income</t>
  </si>
  <si>
    <t>Finance expense</t>
  </si>
  <si>
    <t>(Loss)/profit before tax Taxation</t>
  </si>
  <si>
    <t>(Loss)/profit for the year</t>
  </si>
  <si>
    <t>Actual</t>
  </si>
  <si>
    <t>Taxation</t>
  </si>
  <si>
    <t>Operating profit before changes in fair value and other adjustments</t>
  </si>
  <si>
    <t>Loss on disposal of investment properties</t>
  </si>
  <si>
    <t xml:space="preserve">     Service charge income</t>
  </si>
  <si>
    <t xml:space="preserve">     Service charge expense</t>
  </si>
  <si>
    <t>Earnings per share - basic (p)</t>
  </si>
  <si>
    <t>Earnings per share - diluted (p)</t>
  </si>
  <si>
    <t>EPRA Earnings per share</t>
  </si>
  <si>
    <t>Adjustments to remove:</t>
  </si>
  <si>
    <t>Total comprehensive income (attributed to shareholders)</t>
  </si>
  <si>
    <t>Net Finance &amp; Tax Adjustments</t>
  </si>
  <si>
    <t>Profits to calculate EPRA Earnings per share</t>
  </si>
  <si>
    <t>Share of joint ventures post-tax loss</t>
  </si>
  <si>
    <t>Diluted Weighted average number of Ordinary Shares</t>
  </si>
  <si>
    <t>Net surplus (deficit) on revaluation of investment properties</t>
  </si>
  <si>
    <t>Impairment Reversal (Impairment)  of amounts due from joint ventures</t>
  </si>
  <si>
    <t>2026-2027</t>
  </si>
  <si>
    <t>2028-2030</t>
  </si>
  <si>
    <t xml:space="preserve">Growth </t>
  </si>
  <si>
    <t>rates</t>
  </si>
  <si>
    <t>Perpetual Growth Rate</t>
  </si>
  <si>
    <t>Discount factor (Cost of Equity)</t>
  </si>
  <si>
    <t>Fair Value per share (in p)</t>
  </si>
  <si>
    <t>Land Implied Equity Value (£M)</t>
  </si>
  <si>
    <t xml:space="preserve">Sum of PV of dividends </t>
  </si>
  <si>
    <t>Terminal Value per share (in p)</t>
  </si>
  <si>
    <t>Discount to current Equity Value</t>
  </si>
  <si>
    <t>PV of dividends</t>
  </si>
  <si>
    <t>12,99 x</t>
  </si>
  <si>
    <t>Valuation Summary</t>
  </si>
  <si>
    <t>Weight Assigned</t>
  </si>
  <si>
    <t>Estimation (in p)</t>
  </si>
  <si>
    <t>Final Valuation Result</t>
  </si>
  <si>
    <t>Discount to estimated fair value</t>
  </si>
  <si>
    <t>Current Market Share Price (2025)</t>
  </si>
  <si>
    <t>Implied Share Price- Earnings Multiple Approach</t>
  </si>
  <si>
    <t>Implied Share Price- DDM</t>
  </si>
  <si>
    <t>Capturing reversionary rental uplifts</t>
  </si>
  <si>
    <t>Stabilized long-term mkt growth</t>
  </si>
  <si>
    <t>Fixed contractual income profile</t>
  </si>
  <si>
    <t xml:space="preserve">% variation </t>
  </si>
  <si>
    <t>Fixed long-term lease obligations</t>
  </si>
  <si>
    <t>% variation</t>
  </si>
  <si>
    <t xml:space="preserve">  Assumptions</t>
  </si>
  <si>
    <t>Aligned with projected CPI inflation</t>
  </si>
  <si>
    <t>Initial maintenance and upgrade costs</t>
  </si>
  <si>
    <t>Stabilized prime tenant credit profile</t>
  </si>
  <si>
    <t>Stabilization of portfolio maintenance</t>
  </si>
  <si>
    <t>Active management of secondary income streams</t>
  </si>
  <si>
    <t>Realization of cost-saving efficiencies</t>
  </si>
  <si>
    <t>Fixed asset base maintenance.</t>
  </si>
  <si>
    <t>Long-term asset value appreciation</t>
  </si>
  <si>
    <t>Inflationary increase in project spending</t>
  </si>
  <si>
    <t>Conservative buffer for market volatility</t>
  </si>
  <si>
    <t>Conservative flat cash return outlook</t>
  </si>
  <si>
    <t>Projected marginal borrowing cost increase</t>
  </si>
  <si>
    <t>Fixed estimated transaction friction and costs.</t>
  </si>
  <si>
    <t>Stabilized performance of partnerships</t>
  </si>
  <si>
    <t>Non-recurring accounting valuation adjustment</t>
  </si>
  <si>
    <t>Absence of further asset devaluations</t>
  </si>
  <si>
    <t>No projected intangible asset write-downs</t>
  </si>
  <si>
    <t>Stabilized non-operating cost base</t>
  </si>
  <si>
    <t>REIT status tax-exempt profile.</t>
  </si>
  <si>
    <t>Stable outstanding share capital base</t>
  </si>
  <si>
    <t>No projected dilutive equity issuance</t>
  </si>
  <si>
    <t>Growth in line with earnings.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</si>
</sst>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#,##0.000"/>
    <numFmt numFmtId="166" formatCode="#,##0.0"/>
    <numFmt numFmtId="167" formatCode="0.0%"/>
    <numFmt numFmtId="168" formatCode="0.0"/>
  </numFmts>
  <fonts count="13" x14ac:knownFonts="1">
    <font>
      <sz val="12"/>
      <color theme="1"/>
      <name val="Aptos Narrow"/>
      <family val="2"/>
      <scheme val="minor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4"/>
      <color theme="1"/>
      <name val="Times New Roman"/>
      <family val="1"/>
    </font>
    <font>
      <sz val="16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FFFF00"/>
      <name val="Aptos Narrow"/>
      <family val="2"/>
      <scheme val="minor"/>
    </font>
    <font>
      <sz val="12"/>
      <color rgb="FFFFFF00"/>
      <name val="Aptos Narrow (Corpo)"/>
    </font>
    <font>
      <sz val="15"/>
      <color theme="1"/>
      <name val="Aptos Narrow"/>
      <family val="2"/>
      <scheme val="minor"/>
    </font>
    <font>
      <i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/>
      <right/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medium">
        <color theme="0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theme="0"/>
      </top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0"/>
      </right>
      <top style="medium">
        <color theme="1"/>
      </top>
      <bottom style="thin">
        <color theme="0"/>
      </bottom>
      <diagonal/>
    </border>
    <border>
      <left/>
      <right/>
      <top style="medium">
        <color theme="1"/>
      </top>
      <bottom style="thin">
        <color theme="0"/>
      </bottom>
      <diagonal/>
    </border>
    <border>
      <left/>
      <right style="thin">
        <color theme="0"/>
      </right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2"/>
      </left>
      <right style="thin">
        <color theme="2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rgb="FFFFC000"/>
      </right>
      <top style="medium">
        <color theme="1"/>
      </top>
      <bottom style="medium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theme="1"/>
      </top>
      <bottom/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/>
      <right style="thin">
        <color theme="0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medium">
        <color theme="1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/>
      <diagonal/>
    </border>
    <border>
      <left style="thin">
        <color theme="0"/>
      </left>
      <right/>
      <top style="medium">
        <color theme="1"/>
      </top>
      <bottom style="medium">
        <color theme="1"/>
      </bottom>
      <diagonal/>
    </border>
    <border>
      <left style="thin">
        <color theme="0"/>
      </left>
      <right/>
      <top style="medium">
        <color theme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medium">
        <color theme="1"/>
      </bottom>
      <diagonal/>
    </border>
    <border>
      <left style="thin">
        <color theme="0"/>
      </left>
      <right/>
      <top/>
      <bottom style="medium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262">
    <xf numFmtId="0" fontId="0" fillId="0" borderId="0" xfId="0"/>
    <xf numFmtId="0" fontId="2" fillId="2" borderId="12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3" fillId="3" borderId="19" xfId="0" applyFont="1" applyFill="1" applyBorder="1"/>
    <xf numFmtId="0" fontId="0" fillId="4" borderId="0" xfId="0" applyFill="1"/>
    <xf numFmtId="0" fontId="0" fillId="4" borderId="3" xfId="0" applyFill="1" applyBorder="1"/>
    <xf numFmtId="0" fontId="0" fillId="4" borderId="4" xfId="0" applyFill="1" applyBorder="1"/>
    <xf numFmtId="0" fontId="0" fillId="4" borderId="14" xfId="0" applyFill="1" applyBorder="1"/>
    <xf numFmtId="0" fontId="0" fillId="4" borderId="5" xfId="0" applyFill="1" applyBorder="1"/>
    <xf numFmtId="0" fontId="0" fillId="4" borderId="8" xfId="0" applyFill="1" applyBorder="1"/>
    <xf numFmtId="0" fontId="0" fillId="4" borderId="10" xfId="0" applyFill="1" applyBorder="1"/>
    <xf numFmtId="0" fontId="0" fillId="4" borderId="13" xfId="0" applyFill="1" applyBorder="1"/>
    <xf numFmtId="0" fontId="4" fillId="3" borderId="1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2" borderId="0" xfId="0" applyFill="1"/>
    <xf numFmtId="0" fontId="0" fillId="4" borderId="9" xfId="0" applyFill="1" applyBorder="1"/>
    <xf numFmtId="0" fontId="0" fillId="2" borderId="7" xfId="0" applyFill="1" applyBorder="1"/>
    <xf numFmtId="0" fontId="0" fillId="2" borderId="12" xfId="0" applyFill="1" applyBorder="1"/>
    <xf numFmtId="0" fontId="0" fillId="2" borderId="20" xfId="0" applyFill="1" applyBorder="1"/>
    <xf numFmtId="0" fontId="1" fillId="2" borderId="7" xfId="0" applyFont="1" applyFill="1" applyBorder="1"/>
    <xf numFmtId="0" fontId="5" fillId="4" borderId="0" xfId="0" applyFont="1" applyFill="1"/>
    <xf numFmtId="0" fontId="0" fillId="5" borderId="0" xfId="0" applyFill="1"/>
    <xf numFmtId="0" fontId="0" fillId="3" borderId="0" xfId="0" applyFill="1"/>
    <xf numFmtId="0" fontId="0" fillId="2" borderId="3" xfId="0" applyFill="1" applyBorder="1"/>
    <xf numFmtId="0" fontId="0" fillId="2" borderId="11" xfId="0" applyFill="1" applyBorder="1"/>
    <xf numFmtId="0" fontId="0" fillId="2" borderId="5" xfId="0" applyFill="1" applyBorder="1"/>
    <xf numFmtId="0" fontId="0" fillId="2" borderId="27" xfId="0" applyFill="1" applyBorder="1"/>
    <xf numFmtId="0" fontId="0" fillId="3" borderId="14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5" borderId="0" xfId="0" applyFill="1" applyAlignment="1">
      <alignment horizontal="center"/>
    </xf>
    <xf numFmtId="4" fontId="0" fillId="2" borderId="3" xfId="0" applyNumberFormat="1" applyFill="1" applyBorder="1" applyAlignment="1">
      <alignment horizontal="center"/>
    </xf>
    <xf numFmtId="4" fontId="0" fillId="3" borderId="24" xfId="0" applyNumberFormat="1" applyFill="1" applyBorder="1" applyAlignment="1">
      <alignment horizontal="center"/>
    </xf>
    <xf numFmtId="4" fontId="0" fillId="2" borderId="7" xfId="0" applyNumberFormat="1" applyFill="1" applyBorder="1" applyAlignment="1">
      <alignment horizontal="center"/>
    </xf>
    <xf numFmtId="0" fontId="6" fillId="3" borderId="12" xfId="0" applyFont="1" applyFill="1" applyBorder="1"/>
    <xf numFmtId="0" fontId="0" fillId="3" borderId="1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6" fillId="3" borderId="3" xfId="0" applyFont="1" applyFill="1" applyBorder="1"/>
    <xf numFmtId="0" fontId="6" fillId="3" borderId="23" xfId="0" applyFont="1" applyFill="1" applyBorder="1"/>
    <xf numFmtId="0" fontId="0" fillId="2" borderId="12" xfId="0" applyFill="1" applyBorder="1" applyAlignment="1">
      <alignment horizontal="left"/>
    </xf>
    <xf numFmtId="0" fontId="0" fillId="4" borderId="11" xfId="0" applyFill="1" applyBorder="1"/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30" xfId="0" applyFill="1" applyBorder="1"/>
    <xf numFmtId="164" fontId="0" fillId="2" borderId="11" xfId="0" applyNumberFormat="1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4" fontId="0" fillId="3" borderId="12" xfId="0" applyNumberFormat="1" applyFill="1" applyBorder="1" applyAlignment="1">
      <alignment horizontal="center"/>
    </xf>
    <xf numFmtId="4" fontId="0" fillId="3" borderId="7" xfId="0" applyNumberFormat="1" applyFill="1" applyBorder="1" applyAlignment="1">
      <alignment horizontal="center"/>
    </xf>
    <xf numFmtId="3" fontId="0" fillId="2" borderId="11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2" borderId="7" xfId="0" applyNumberFormat="1" applyFill="1" applyBorder="1" applyAlignment="1">
      <alignment horizontal="center"/>
    </xf>
    <xf numFmtId="3" fontId="0" fillId="2" borderId="15" xfId="0" applyNumberFormat="1" applyFill="1" applyBorder="1" applyAlignment="1">
      <alignment horizontal="center"/>
    </xf>
    <xf numFmtId="3" fontId="0" fillId="2" borderId="12" xfId="0" applyNumberFormat="1" applyFill="1" applyBorder="1" applyAlignment="1">
      <alignment horizontal="center"/>
    </xf>
    <xf numFmtId="0" fontId="0" fillId="2" borderId="23" xfId="0" applyFill="1" applyBorder="1"/>
    <xf numFmtId="0" fontId="0" fillId="4" borderId="7" xfId="0" applyFill="1" applyBorder="1"/>
    <xf numFmtId="4" fontId="0" fillId="2" borderId="16" xfId="0" applyNumberFormat="1" applyFill="1" applyBorder="1" applyAlignment="1">
      <alignment horizontal="center"/>
    </xf>
    <xf numFmtId="4" fontId="0" fillId="2" borderId="9" xfId="0" applyNumberFormat="1" applyFill="1" applyBorder="1" applyAlignment="1">
      <alignment horizontal="center"/>
    </xf>
    <xf numFmtId="0" fontId="0" fillId="4" borderId="15" xfId="0" applyFill="1" applyBorder="1"/>
    <xf numFmtId="164" fontId="0" fillId="2" borderId="12" xfId="0" applyNumberFormat="1" applyFill="1" applyBorder="1" applyAlignment="1">
      <alignment horizontal="center"/>
    </xf>
    <xf numFmtId="165" fontId="0" fillId="2" borderId="12" xfId="0" applyNumberFormat="1" applyFill="1" applyBorder="1" applyAlignment="1">
      <alignment horizontal="center"/>
    </xf>
    <xf numFmtId="0" fontId="7" fillId="6" borderId="11" xfId="0" applyFont="1" applyFill="1" applyBorder="1"/>
    <xf numFmtId="0" fontId="0" fillId="6" borderId="16" xfId="0" applyFill="1" applyBorder="1" applyAlignment="1">
      <alignment horizontal="left"/>
    </xf>
    <xf numFmtId="0" fontId="0" fillId="3" borderId="32" xfId="0" applyFill="1" applyBorder="1"/>
    <xf numFmtId="0" fontId="0" fillId="2" borderId="33" xfId="0" applyFill="1" applyBorder="1" applyAlignment="1">
      <alignment horizontal="left"/>
    </xf>
    <xf numFmtId="0" fontId="0" fillId="2" borderId="34" xfId="0" applyFill="1" applyBorder="1" applyAlignment="1">
      <alignment horizontal="left"/>
    </xf>
    <xf numFmtId="0" fontId="0" fillId="0" borderId="5" xfId="0" applyBorder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2" borderId="15" xfId="0" applyFill="1" applyBorder="1"/>
    <xf numFmtId="0" fontId="0" fillId="4" borderId="21" xfId="0" applyFill="1" applyBorder="1"/>
    <xf numFmtId="10" fontId="0" fillId="4" borderId="22" xfId="0" applyNumberFormat="1" applyFill="1" applyBorder="1"/>
    <xf numFmtId="10" fontId="0" fillId="2" borderId="5" xfId="0" applyNumberFormat="1" applyFill="1" applyBorder="1"/>
    <xf numFmtId="0" fontId="0" fillId="2" borderId="35" xfId="0" applyFill="1" applyBorder="1"/>
    <xf numFmtId="10" fontId="0" fillId="2" borderId="0" xfId="0" applyNumberFormat="1" applyFill="1"/>
    <xf numFmtId="0" fontId="0" fillId="2" borderId="30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164" fontId="0" fillId="2" borderId="38" xfId="0" applyNumberFormat="1" applyFill="1" applyBorder="1" applyAlignment="1">
      <alignment horizontal="center"/>
    </xf>
    <xf numFmtId="164" fontId="0" fillId="2" borderId="39" xfId="0" applyNumberFormat="1" applyFill="1" applyBorder="1" applyAlignment="1">
      <alignment horizontal="center"/>
    </xf>
    <xf numFmtId="0" fontId="0" fillId="2" borderId="14" xfId="0" applyFill="1" applyBorder="1"/>
    <xf numFmtId="10" fontId="0" fillId="2" borderId="7" xfId="0" applyNumberFormat="1" applyFill="1" applyBorder="1"/>
    <xf numFmtId="0" fontId="0" fillId="6" borderId="41" xfId="0" applyFill="1" applyBorder="1" applyAlignment="1">
      <alignment vertical="center"/>
    </xf>
    <xf numFmtId="3" fontId="0" fillId="6" borderId="30" xfId="0" applyNumberFormat="1" applyFill="1" applyBorder="1"/>
    <xf numFmtId="0" fontId="0" fillId="2" borderId="39" xfId="0" applyFill="1" applyBorder="1" applyAlignment="1">
      <alignment horizontal="center"/>
    </xf>
    <xf numFmtId="0" fontId="11" fillId="0" borderId="40" xfId="0" applyFont="1" applyBorder="1" applyAlignment="1">
      <alignment horizontal="center"/>
    </xf>
    <xf numFmtId="1" fontId="0" fillId="5" borderId="0" xfId="0" applyNumberFormat="1" applyFill="1" applyAlignment="1">
      <alignment horizontal="center"/>
    </xf>
    <xf numFmtId="0" fontId="0" fillId="4" borderId="37" xfId="0" applyFill="1" applyBorder="1"/>
    <xf numFmtId="3" fontId="0" fillId="4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0" fillId="4" borderId="42" xfId="0" applyFill="1" applyBorder="1"/>
    <xf numFmtId="0" fontId="0" fillId="4" borderId="43" xfId="0" applyFill="1" applyBorder="1"/>
    <xf numFmtId="0" fontId="6" fillId="4" borderId="0" xfId="0" applyFont="1" applyFill="1"/>
    <xf numFmtId="0" fontId="6" fillId="4" borderId="37" xfId="0" applyFont="1" applyFill="1" applyBorder="1"/>
    <xf numFmtId="0" fontId="0" fillId="4" borderId="2" xfId="0" applyFill="1" applyBorder="1"/>
    <xf numFmtId="0" fontId="0" fillId="6" borderId="0" xfId="0" applyFill="1" applyAlignment="1">
      <alignment horizontal="center"/>
    </xf>
    <xf numFmtId="0" fontId="6" fillId="4" borderId="2" xfId="0" applyFont="1" applyFill="1" applyBorder="1"/>
    <xf numFmtId="0" fontId="6" fillId="4" borderId="44" xfId="0" applyFont="1" applyFill="1" applyBorder="1"/>
    <xf numFmtId="0" fontId="12" fillId="4" borderId="0" xfId="0" applyFont="1" applyFill="1"/>
    <xf numFmtId="0" fontId="7" fillId="4" borderId="0" xfId="0" applyFont="1" applyFill="1"/>
    <xf numFmtId="2" fontId="0" fillId="4" borderId="0" xfId="0" applyNumberFormat="1" applyFill="1"/>
    <xf numFmtId="9" fontId="0" fillId="4" borderId="0" xfId="1" applyFont="1" applyFill="1"/>
    <xf numFmtId="3" fontId="0" fillId="4" borderId="42" xfId="0" applyNumberFormat="1" applyFill="1" applyBorder="1" applyAlignment="1">
      <alignment horizontal="right"/>
    </xf>
    <xf numFmtId="166" fontId="0" fillId="4" borderId="0" xfId="0" applyNumberFormat="1" applyFill="1"/>
    <xf numFmtId="4" fontId="0" fillId="4" borderId="0" xfId="0" applyNumberFormat="1" applyFill="1"/>
    <xf numFmtId="3" fontId="0" fillId="4" borderId="43" xfId="0" applyNumberFormat="1" applyFill="1" applyBorder="1" applyAlignment="1">
      <alignment horizontal="right"/>
    </xf>
    <xf numFmtId="3" fontId="0" fillId="4" borderId="0" xfId="0" applyNumberFormat="1" applyFill="1"/>
    <xf numFmtId="3" fontId="6" fillId="4" borderId="37" xfId="0" applyNumberFormat="1" applyFont="1" applyFill="1" applyBorder="1" applyAlignment="1">
      <alignment horizontal="right"/>
    </xf>
    <xf numFmtId="3" fontId="6" fillId="4" borderId="44" xfId="0" applyNumberFormat="1" applyFont="1" applyFill="1" applyBorder="1"/>
    <xf numFmtId="3" fontId="6" fillId="4" borderId="37" xfId="0" applyNumberFormat="1" applyFont="1" applyFill="1" applyBorder="1"/>
    <xf numFmtId="3" fontId="6" fillId="4" borderId="2" xfId="0" applyNumberFormat="1" applyFont="1" applyFill="1" applyBorder="1"/>
    <xf numFmtId="3" fontId="0" fillId="2" borderId="0" xfId="0" applyNumberFormat="1" applyFill="1"/>
    <xf numFmtId="3" fontId="0" fillId="0" borderId="0" xfId="0" applyNumberFormat="1"/>
    <xf numFmtId="3" fontId="0" fillId="4" borderId="42" xfId="0" applyNumberFormat="1" applyFill="1" applyBorder="1"/>
    <xf numFmtId="0" fontId="0" fillId="3" borderId="36" xfId="0" applyFill="1" applyBorder="1" applyAlignment="1">
      <alignment horizontal="right"/>
    </xf>
    <xf numFmtId="0" fontId="0" fillId="3" borderId="30" xfId="0" applyFill="1" applyBorder="1" applyAlignment="1">
      <alignment horizontal="left"/>
    </xf>
    <xf numFmtId="0" fontId="0" fillId="5" borderId="45" xfId="0" applyFill="1" applyBorder="1" applyAlignment="1">
      <alignment horizontal="center"/>
    </xf>
    <xf numFmtId="10" fontId="0" fillId="2" borderId="5" xfId="0" applyNumberFormat="1" applyFill="1" applyBorder="1" applyAlignment="1">
      <alignment horizontal="center"/>
    </xf>
    <xf numFmtId="10" fontId="0" fillId="2" borderId="7" xfId="0" applyNumberFormat="1" applyFill="1" applyBorder="1" applyAlignment="1">
      <alignment horizontal="center"/>
    </xf>
    <xf numFmtId="9" fontId="0" fillId="2" borderId="15" xfId="0" applyNumberFormat="1" applyFill="1" applyBorder="1" applyAlignment="1">
      <alignment horizontal="center"/>
    </xf>
    <xf numFmtId="9" fontId="0" fillId="2" borderId="20" xfId="0" applyNumberFormat="1" applyFill="1" applyBorder="1" applyAlignment="1">
      <alignment horizontal="center"/>
    </xf>
    <xf numFmtId="9" fontId="0" fillId="2" borderId="7" xfId="0" applyNumberFormat="1" applyFill="1" applyBorder="1" applyAlignment="1">
      <alignment horizontal="center"/>
    </xf>
    <xf numFmtId="9" fontId="0" fillId="2" borderId="12" xfId="0" applyNumberFormat="1" applyFill="1" applyBorder="1" applyAlignment="1">
      <alignment horizontal="center"/>
    </xf>
    <xf numFmtId="10" fontId="0" fillId="2" borderId="12" xfId="0" applyNumberFormat="1" applyFill="1" applyBorder="1" applyAlignment="1">
      <alignment horizontal="center"/>
    </xf>
    <xf numFmtId="9" fontId="0" fillId="2" borderId="16" xfId="0" applyNumberFormat="1" applyFill="1" applyBorder="1" applyAlignment="1">
      <alignment horizontal="center"/>
    </xf>
    <xf numFmtId="9" fontId="0" fillId="2" borderId="9" xfId="0" applyNumberFormat="1" applyFill="1" applyBorder="1" applyAlignment="1">
      <alignment horizontal="center"/>
    </xf>
    <xf numFmtId="9" fontId="0" fillId="2" borderId="11" xfId="0" applyNumberFormat="1" applyFill="1" applyBorder="1" applyAlignment="1">
      <alignment horizontal="center"/>
    </xf>
    <xf numFmtId="9" fontId="0" fillId="2" borderId="0" xfId="1" applyFont="1" applyFill="1" applyBorder="1" applyAlignment="1">
      <alignment horizontal="center"/>
    </xf>
    <xf numFmtId="9" fontId="0" fillId="2" borderId="14" xfId="0" applyNumberFormat="1" applyFill="1" applyBorder="1" applyAlignment="1">
      <alignment horizontal="center"/>
    </xf>
    <xf numFmtId="10" fontId="0" fillId="7" borderId="50" xfId="0" applyNumberFormat="1" applyFill="1" applyBorder="1" applyAlignment="1">
      <alignment horizontal="center"/>
    </xf>
    <xf numFmtId="10" fontId="0" fillId="2" borderId="15" xfId="0" applyNumberFormat="1" applyFill="1" applyBorder="1" applyAlignment="1">
      <alignment horizontal="center"/>
    </xf>
    <xf numFmtId="9" fontId="0" fillId="2" borderId="31" xfId="0" applyNumberFormat="1" applyFill="1" applyBorder="1" applyAlignment="1">
      <alignment horizontal="center"/>
    </xf>
    <xf numFmtId="0" fontId="0" fillId="4" borderId="49" xfId="0" applyFill="1" applyBorder="1"/>
    <xf numFmtId="0" fontId="0" fillId="4" borderId="47" xfId="0" applyFill="1" applyBorder="1"/>
    <xf numFmtId="168" fontId="0" fillId="4" borderId="0" xfId="0" applyNumberFormat="1" applyFill="1"/>
    <xf numFmtId="10" fontId="0" fillId="7" borderId="48" xfId="0" applyNumberFormat="1" applyFill="1" applyBorder="1" applyAlignment="1">
      <alignment horizontal="center"/>
    </xf>
    <xf numFmtId="10" fontId="0" fillId="7" borderId="47" xfId="0" applyNumberFormat="1" applyFill="1" applyBorder="1" applyAlignment="1">
      <alignment horizontal="center"/>
    </xf>
    <xf numFmtId="10" fontId="0" fillId="7" borderId="37" xfId="1" applyNumberFormat="1" applyFont="1" applyFill="1" applyBorder="1" applyAlignment="1">
      <alignment horizontal="center"/>
    </xf>
    <xf numFmtId="10" fontId="0" fillId="7" borderId="48" xfId="1" applyNumberFormat="1" applyFont="1" applyFill="1" applyBorder="1" applyAlignment="1">
      <alignment horizontal="center"/>
    </xf>
    <xf numFmtId="9" fontId="0" fillId="2" borderId="33" xfId="0" applyNumberFormat="1" applyFill="1" applyBorder="1" applyAlignment="1">
      <alignment horizontal="center"/>
    </xf>
    <xf numFmtId="10" fontId="0" fillId="7" borderId="51" xfId="1" applyNumberFormat="1" applyFont="1" applyFill="1" applyBorder="1" applyAlignment="1">
      <alignment horizontal="center"/>
    </xf>
    <xf numFmtId="10" fontId="0" fillId="7" borderId="52" xfId="1" applyNumberFormat="1" applyFont="1" applyFill="1" applyBorder="1" applyAlignment="1">
      <alignment horizontal="center"/>
    </xf>
    <xf numFmtId="9" fontId="0" fillId="2" borderId="3" xfId="0" applyNumberFormat="1" applyFill="1" applyBorder="1" applyAlignment="1">
      <alignment horizontal="center"/>
    </xf>
    <xf numFmtId="0" fontId="0" fillId="2" borderId="16" xfId="0" applyFill="1" applyBorder="1"/>
    <xf numFmtId="0" fontId="0" fillId="2" borderId="9" xfId="0" applyFill="1" applyBorder="1"/>
    <xf numFmtId="9" fontId="0" fillId="2" borderId="53" xfId="0" applyNumberFormat="1" applyFill="1" applyBorder="1" applyAlignment="1">
      <alignment horizontal="center"/>
    </xf>
    <xf numFmtId="167" fontId="0" fillId="2" borderId="53" xfId="0" applyNumberFormat="1" applyFill="1" applyBorder="1" applyAlignment="1">
      <alignment horizontal="center"/>
    </xf>
    <xf numFmtId="10" fontId="0" fillId="7" borderId="15" xfId="0" applyNumberFormat="1" applyFill="1" applyBorder="1" applyAlignment="1">
      <alignment horizontal="center"/>
    </xf>
    <xf numFmtId="0" fontId="0" fillId="4" borderId="51" xfId="0" applyFill="1" applyBorder="1"/>
    <xf numFmtId="3" fontId="6" fillId="4" borderId="0" xfId="0" applyNumberFormat="1" applyFont="1" applyFill="1"/>
    <xf numFmtId="10" fontId="0" fillId="7" borderId="15" xfId="1" applyNumberFormat="1" applyFont="1" applyFill="1" applyBorder="1" applyAlignment="1">
      <alignment horizontal="center"/>
    </xf>
    <xf numFmtId="10" fontId="0" fillId="7" borderId="11" xfId="1" applyNumberFormat="1" applyFont="1" applyFill="1" applyBorder="1" applyAlignment="1">
      <alignment horizontal="center"/>
    </xf>
    <xf numFmtId="2" fontId="0" fillId="4" borderId="55" xfId="0" applyNumberFormat="1" applyFill="1" applyBorder="1"/>
    <xf numFmtId="0" fontId="0" fillId="4" borderId="53" xfId="0" applyFill="1" applyBorder="1"/>
    <xf numFmtId="167" fontId="0" fillId="2" borderId="54" xfId="0" applyNumberFormat="1" applyFill="1" applyBorder="1" applyAlignment="1">
      <alignment horizontal="center"/>
    </xf>
    <xf numFmtId="10" fontId="0" fillId="7" borderId="52" xfId="0" applyNumberFormat="1" applyFill="1" applyBorder="1" applyAlignment="1">
      <alignment horizontal="center"/>
    </xf>
    <xf numFmtId="10" fontId="0" fillId="7" borderId="47" xfId="1" applyNumberFormat="1" applyFont="1" applyFill="1" applyBorder="1" applyAlignment="1">
      <alignment horizontal="center"/>
    </xf>
    <xf numFmtId="10" fontId="0" fillId="4" borderId="0" xfId="1" applyNumberFormat="1" applyFont="1" applyFill="1"/>
    <xf numFmtId="10" fontId="0" fillId="2" borderId="3" xfId="1" applyNumberFormat="1" applyFont="1" applyFill="1" applyBorder="1" applyAlignment="1">
      <alignment horizontal="center"/>
    </xf>
    <xf numFmtId="10" fontId="0" fillId="2" borderId="33" xfId="1" applyNumberFormat="1" applyFont="1" applyFill="1" applyBorder="1" applyAlignment="1">
      <alignment horizontal="center"/>
    </xf>
    <xf numFmtId="10" fontId="0" fillId="2" borderId="6" xfId="1" applyNumberFormat="1" applyFont="1" applyFill="1" applyBorder="1" applyAlignment="1">
      <alignment horizontal="center"/>
    </xf>
    <xf numFmtId="167" fontId="0" fillId="2" borderId="11" xfId="0" applyNumberFormat="1" applyFill="1" applyBorder="1" applyAlignment="1">
      <alignment horizontal="center"/>
    </xf>
    <xf numFmtId="167" fontId="0" fillId="2" borderId="14" xfId="0" applyNumberFormat="1" applyFill="1" applyBorder="1" applyAlignment="1">
      <alignment horizontal="center"/>
    </xf>
    <xf numFmtId="167" fontId="0" fillId="2" borderId="15" xfId="0" applyNumberFormat="1" applyFill="1" applyBorder="1" applyAlignment="1">
      <alignment horizontal="center"/>
    </xf>
    <xf numFmtId="10" fontId="0" fillId="4" borderId="2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0" fontId="0" fillId="2" borderId="14" xfId="0" applyNumberFormat="1" applyFill="1" applyBorder="1" applyAlignment="1">
      <alignment horizontal="center"/>
    </xf>
    <xf numFmtId="167" fontId="0" fillId="2" borderId="7" xfId="1" applyNumberFormat="1" applyFont="1" applyFill="1" applyBorder="1" applyAlignment="1">
      <alignment horizontal="center"/>
    </xf>
    <xf numFmtId="10" fontId="0" fillId="2" borderId="3" xfId="0" applyNumberFormat="1" applyFill="1" applyBorder="1" applyAlignment="1">
      <alignment horizontal="center"/>
    </xf>
    <xf numFmtId="43" fontId="0" fillId="4" borderId="0" xfId="2" applyFont="1" applyFill="1"/>
    <xf numFmtId="9" fontId="0" fillId="2" borderId="3" xfId="1" applyFont="1" applyFill="1" applyBorder="1" applyAlignment="1">
      <alignment horizontal="center"/>
    </xf>
    <xf numFmtId="4" fontId="0" fillId="0" borderId="0" xfId="0" applyNumberFormat="1"/>
    <xf numFmtId="3" fontId="0" fillId="6" borderId="9" xfId="0" applyNumberFormat="1" applyFill="1" applyBorder="1" applyAlignment="1">
      <alignment horizontal="center"/>
    </xf>
    <xf numFmtId="0" fontId="0" fillId="8" borderId="0" xfId="0" applyFill="1"/>
    <xf numFmtId="10" fontId="0" fillId="8" borderId="0" xfId="1" applyNumberFormat="1" applyFont="1" applyFill="1"/>
    <xf numFmtId="168" fontId="0" fillId="2" borderId="12" xfId="0" applyNumberFormat="1" applyFill="1" applyBorder="1"/>
    <xf numFmtId="10" fontId="0" fillId="2" borderId="12" xfId="0" applyNumberFormat="1" applyFill="1" applyBorder="1"/>
    <xf numFmtId="1" fontId="0" fillId="5" borderId="3" xfId="0" applyNumberFormat="1" applyFill="1" applyBorder="1" applyAlignment="1">
      <alignment horizontal="center"/>
    </xf>
    <xf numFmtId="9" fontId="0" fillId="2" borderId="12" xfId="1" applyFont="1" applyFill="1" applyBorder="1"/>
    <xf numFmtId="1" fontId="0" fillId="5" borderId="14" xfId="0" applyNumberFormat="1" applyFill="1" applyBorder="1" applyAlignment="1">
      <alignment horizontal="center"/>
    </xf>
    <xf numFmtId="9" fontId="0" fillId="2" borderId="7" xfId="1" applyFont="1" applyFill="1" applyBorder="1"/>
    <xf numFmtId="168" fontId="0" fillId="2" borderId="7" xfId="0" applyNumberFormat="1" applyFill="1" applyBorder="1"/>
    <xf numFmtId="10" fontId="0" fillId="2" borderId="3" xfId="0" applyNumberFormat="1" applyFill="1" applyBorder="1"/>
    <xf numFmtId="9" fontId="0" fillId="2" borderId="0" xfId="0" applyNumberFormat="1" applyFill="1"/>
    <xf numFmtId="2" fontId="0" fillId="2" borderId="0" xfId="0" applyNumberFormat="1" applyFill="1"/>
    <xf numFmtId="9" fontId="0" fillId="2" borderId="7" xfId="0" applyNumberFormat="1" applyFill="1" applyBorder="1"/>
    <xf numFmtId="2" fontId="0" fillId="2" borderId="7" xfId="0" applyNumberFormat="1" applyFill="1" applyBorder="1"/>
    <xf numFmtId="2" fontId="0" fillId="2" borderId="16" xfId="0" applyNumberFormat="1" applyFill="1" applyBorder="1"/>
    <xf numFmtId="0" fontId="0" fillId="6" borderId="36" xfId="0" applyFill="1" applyBorder="1"/>
    <xf numFmtId="4" fontId="0" fillId="6" borderId="30" xfId="0" applyNumberFormat="1" applyFill="1" applyBorder="1"/>
    <xf numFmtId="10" fontId="0" fillId="2" borderId="16" xfId="0" applyNumberFormat="1" applyFill="1" applyBorder="1"/>
    <xf numFmtId="2" fontId="0" fillId="2" borderId="12" xfId="0" applyNumberFormat="1" applyFill="1" applyBorder="1"/>
    <xf numFmtId="0" fontId="0" fillId="2" borderId="56" xfId="0" applyFill="1" applyBorder="1"/>
    <xf numFmtId="0" fontId="0" fillId="2" borderId="57" xfId="0" applyFill="1" applyBorder="1"/>
    <xf numFmtId="0" fontId="0" fillId="2" borderId="39" xfId="0" applyFill="1" applyBorder="1"/>
    <xf numFmtId="9" fontId="0" fillId="2" borderId="56" xfId="0" applyNumberFormat="1" applyFill="1" applyBorder="1"/>
    <xf numFmtId="0" fontId="0" fillId="2" borderId="38" xfId="0" applyFill="1" applyBorder="1"/>
    <xf numFmtId="4" fontId="0" fillId="2" borderId="31" xfId="0" applyNumberFormat="1" applyFill="1" applyBorder="1" applyAlignment="1">
      <alignment horizontal="center"/>
    </xf>
    <xf numFmtId="3" fontId="0" fillId="2" borderId="23" xfId="0" applyNumberFormat="1" applyFill="1" applyBorder="1" applyAlignment="1">
      <alignment horizontal="center"/>
    </xf>
    <xf numFmtId="3" fontId="0" fillId="2" borderId="25" xfId="0" applyNumberFormat="1" applyFill="1" applyBorder="1" applyAlignment="1">
      <alignment horizontal="center"/>
    </xf>
    <xf numFmtId="3" fontId="0" fillId="2" borderId="3" xfId="0" applyNumberFormat="1" applyFill="1" applyBorder="1" applyAlignment="1">
      <alignment horizontal="center"/>
    </xf>
    <xf numFmtId="3" fontId="0" fillId="2" borderId="26" xfId="0" applyNumberFormat="1" applyFill="1" applyBorder="1" applyAlignment="1">
      <alignment horizontal="center"/>
    </xf>
    <xf numFmtId="3" fontId="0" fillId="2" borderId="27" xfId="0" applyNumberFormat="1" applyFill="1" applyBorder="1" applyAlignment="1">
      <alignment horizontal="center"/>
    </xf>
    <xf numFmtId="3" fontId="0" fillId="2" borderId="28" xfId="0" applyNumberFormat="1" applyFill="1" applyBorder="1" applyAlignment="1">
      <alignment horizontal="center"/>
    </xf>
    <xf numFmtId="3" fontId="0" fillId="2" borderId="29" xfId="0" applyNumberFormat="1" applyFill="1" applyBorder="1" applyAlignment="1">
      <alignment horizontal="center"/>
    </xf>
    <xf numFmtId="3" fontId="7" fillId="2" borderId="11" xfId="0" applyNumberFormat="1" applyFont="1" applyFill="1" applyBorder="1" applyAlignment="1">
      <alignment horizontal="center"/>
    </xf>
    <xf numFmtId="3" fontId="7" fillId="2" borderId="15" xfId="0" applyNumberFormat="1" applyFont="1" applyFill="1" applyBorder="1" applyAlignment="1">
      <alignment horizontal="center"/>
    </xf>
    <xf numFmtId="3" fontId="7" fillId="6" borderId="11" xfId="0" applyNumberFormat="1" applyFont="1" applyFill="1" applyBorder="1" applyAlignment="1">
      <alignment horizontal="center"/>
    </xf>
    <xf numFmtId="43" fontId="0" fillId="2" borderId="7" xfId="0" applyNumberFormat="1" applyFill="1" applyBorder="1" applyAlignment="1">
      <alignment horizontal="center"/>
    </xf>
    <xf numFmtId="43" fontId="0" fillId="2" borderId="15" xfId="0" applyNumberFormat="1" applyFill="1" applyBorder="1" applyAlignment="1">
      <alignment horizontal="center"/>
    </xf>
    <xf numFmtId="43" fontId="0" fillId="2" borderId="11" xfId="0" applyNumberFormat="1" applyFill="1" applyBorder="1" applyAlignment="1">
      <alignment horizontal="center"/>
    </xf>
    <xf numFmtId="43" fontId="0" fillId="2" borderId="12" xfId="0" applyNumberFormat="1" applyFill="1" applyBorder="1"/>
    <xf numFmtId="43" fontId="0" fillId="2" borderId="14" xfId="0" applyNumberFormat="1" applyFill="1" applyBorder="1" applyAlignment="1">
      <alignment horizontal="left"/>
    </xf>
    <xf numFmtId="2" fontId="0" fillId="2" borderId="11" xfId="0" applyNumberFormat="1" applyFill="1" applyBorder="1" applyAlignment="1">
      <alignment horizontal="right"/>
    </xf>
    <xf numFmtId="2" fontId="0" fillId="2" borderId="14" xfId="0" applyNumberFormat="1" applyFill="1" applyBorder="1"/>
    <xf numFmtId="0" fontId="0" fillId="3" borderId="36" xfId="0" applyFill="1" applyBorder="1"/>
    <xf numFmtId="0" fontId="0" fillId="3" borderId="37" xfId="0" applyFill="1" applyBorder="1"/>
    <xf numFmtId="0" fontId="0" fillId="2" borderId="42" xfId="0" applyFill="1" applyBorder="1"/>
    <xf numFmtId="2" fontId="0" fillId="2" borderId="42" xfId="0" applyNumberFormat="1" applyFill="1" applyBorder="1"/>
    <xf numFmtId="9" fontId="0" fillId="2" borderId="42" xfId="0" applyNumberFormat="1" applyFill="1" applyBorder="1"/>
    <xf numFmtId="10" fontId="0" fillId="7" borderId="58" xfId="0" applyNumberFormat="1" applyFill="1" applyBorder="1" applyAlignment="1">
      <alignment horizontal="center"/>
    </xf>
    <xf numFmtId="0" fontId="0" fillId="0" borderId="0" xfId="0" applyAlignment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7" borderId="4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0" fontId="0" fillId="2" borderId="46" xfId="0" applyNumberForma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7" borderId="48" xfId="0" applyFill="1" applyBorder="1" applyAlignment="1">
      <alignment horizontal="center" vertical="center"/>
    </xf>
    <xf numFmtId="9" fontId="0" fillId="2" borderId="10" xfId="0" applyNumberFormat="1" applyFill="1" applyBorder="1" applyAlignment="1">
      <alignment horizontal="center" vertical="center"/>
    </xf>
    <xf numFmtId="0" fontId="0" fillId="2" borderId="60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7" borderId="58" xfId="0" applyFill="1" applyBorder="1" applyAlignment="1">
      <alignment horizontal="center" vertical="center"/>
    </xf>
    <xf numFmtId="0" fontId="0" fillId="2" borderId="59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61" xfId="0" applyFill="1" applyBorder="1" applyAlignment="1">
      <alignment horizontal="center" vertical="center"/>
    </xf>
    <xf numFmtId="0" fontId="0" fillId="2" borderId="62" xfId="0" applyFill="1" applyBorder="1" applyAlignment="1">
      <alignment horizontal="center" vertical="center"/>
    </xf>
    <xf numFmtId="0" fontId="0" fillId="2" borderId="63" xfId="0" applyFill="1" applyBorder="1" applyAlignment="1">
      <alignment horizontal="center" vertical="center"/>
    </xf>
    <xf numFmtId="0" fontId="0" fillId="7" borderId="50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5" borderId="59" xfId="0" applyFill="1" applyBorder="1" applyAlignment="1">
      <alignment horizontal="center"/>
    </xf>
    <xf numFmtId="0" fontId="0" fillId="5" borderId="46" xfId="0" applyFill="1" applyBorder="1" applyAlignment="1">
      <alignment horizontal="center"/>
    </xf>
  </cellXfs>
  <cellStyles count="3">
    <cellStyle name="Comma" xfId="2" builtinId="3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Portfolio</a:t>
            </a:r>
            <a:r>
              <a:rPr lang="it-IT" baseline="0"/>
              <a:t> Weight Distribution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2C-4748-9FB0-2B23D8628B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2C-4748-9FB0-2B23D8628B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2C-4748-9FB0-2B23D8628B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67B-1549-963F-D004AD1865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67B-1549-963F-D004AD1865C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'LAND generalities'!$D$27:$H$27</c:f>
              <c:strCache>
                <c:ptCount val="5"/>
                <c:pt idx="0">
                  <c:v>Offices (Workplaces)</c:v>
                </c:pt>
                <c:pt idx="1">
                  <c:v>Major Retail Destinations</c:v>
                </c:pt>
                <c:pt idx="2">
                  <c:v>Leisure and Retail Parks</c:v>
                </c:pt>
                <c:pt idx="3">
                  <c:v>Mixed-use</c:v>
                </c:pt>
                <c:pt idx="4">
                  <c:v>Urban Neighbourhoods (Forthcoming)</c:v>
                </c:pt>
              </c:strCache>
            </c:strRef>
          </c:cat>
          <c:val>
            <c:numRef>
              <c:f>'LAND generalities'!$D$28:$H$28</c:f>
              <c:numCache>
                <c:formatCode>General</c:formatCode>
                <c:ptCount val="5"/>
                <c:pt idx="0">
                  <c:v>29</c:v>
                </c:pt>
                <c:pt idx="1">
                  <c:v>7</c:v>
                </c:pt>
                <c:pt idx="2">
                  <c:v>50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B-1549-963F-D004AD1865C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Areas Weight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487-D74A-848C-F1F5C0E06E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487-D74A-848C-F1F5C0E06E6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'LAND generalities'!$K$27:$L$27</c:f>
              <c:strCache>
                <c:ptCount val="2"/>
                <c:pt idx="0">
                  <c:v>London (UK)</c:v>
                </c:pt>
                <c:pt idx="1">
                  <c:v>Elsewhere (UK)</c:v>
                </c:pt>
              </c:strCache>
            </c:strRef>
          </c:cat>
          <c:val>
            <c:numRef>
              <c:f>'LAND generalities'!$K$28:$L$28</c:f>
              <c:numCache>
                <c:formatCode>General</c:formatCode>
                <c:ptCount val="2"/>
                <c:pt idx="0">
                  <c:v>30</c:v>
                </c:pt>
                <c:pt idx="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17-3C48-98FA-00D70C9629F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29</xdr:row>
      <xdr:rowOff>80527</xdr:rowOff>
    </xdr:from>
    <xdr:to>
      <xdr:col>6</xdr:col>
      <xdr:colOff>1504737</xdr:colOff>
      <xdr:row>44</xdr:row>
      <xdr:rowOff>67732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5E3C8FA8-B487-2ADC-71CF-2BF74E7C2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84667</xdr:colOff>
      <xdr:row>29</xdr:row>
      <xdr:rowOff>0</xdr:rowOff>
    </xdr:from>
    <xdr:to>
      <xdr:col>13</xdr:col>
      <xdr:colOff>287867</xdr:colOff>
      <xdr:row>43</xdr:row>
      <xdr:rowOff>84666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0BF2F851-8746-F1DE-EE65-F7B4E32B6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1004187</xdr:colOff>
      <xdr:row>3</xdr:row>
      <xdr:rowOff>191976</xdr:rowOff>
    </xdr:from>
    <xdr:to>
      <xdr:col>3</xdr:col>
      <xdr:colOff>383953</xdr:colOff>
      <xdr:row>5</xdr:row>
      <xdr:rowOff>14767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B7F759AB-EAB0-D3FC-CFD3-A365A4791EA4}"/>
            </a:ext>
          </a:extLst>
        </xdr:cNvPr>
        <xdr:cNvSpPr txBox="1"/>
      </xdr:nvSpPr>
      <xdr:spPr>
        <a:xfrm>
          <a:off x="6999768" y="886046"/>
          <a:ext cx="738371" cy="23627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Historical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612322</xdr:colOff>
      <xdr:row>10</xdr:row>
      <xdr:rowOff>90713</xdr:rowOff>
    </xdr:from>
    <xdr:to>
      <xdr:col>14</xdr:col>
      <xdr:colOff>512535</xdr:colOff>
      <xdr:row>12</xdr:row>
      <xdr:rowOff>161470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sellaDiTesto 1">
              <a:extLst>
                <a:ext uri="{FF2B5EF4-FFF2-40B4-BE49-F238E27FC236}">
                  <a16:creationId xmlns:a16="http://schemas.microsoft.com/office/drawing/2014/main" id="{8E945995-1F80-3049-BD15-B311B5B6E2C6}"/>
                </a:ext>
              </a:extLst>
            </xdr:cNvPr>
            <xdr:cNvSpPr txBox="1"/>
          </xdr:nvSpPr>
          <xdr:spPr>
            <a:xfrm>
              <a:off x="18210893" y="2199820"/>
              <a:ext cx="4798785" cy="47897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it-IT" sz="1600">
                  <a:latin typeface="Times New Roman" panose="02020603050405020304" pitchFamily="18" charset="0"/>
                  <a:cs typeface="Times New Roman" panose="02020603050405020304" pitchFamily="18" charset="0"/>
                </a:rPr>
                <a:t>          CAPM:  Ke= Rf+</a:t>
              </a:r>
              <a14:m>
                <m:oMath xmlns:m="http://schemas.openxmlformats.org/officeDocument/2006/math">
                  <m:r>
                    <a:rPr lang="it-IT" sz="16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𝛽</m:t>
                  </m:r>
                </m:oMath>
              </a14:m>
              <a:r>
                <a:rPr lang="it-IT" sz="1600">
                  <a:latin typeface="Times New Roman" panose="02020603050405020304" pitchFamily="18" charset="0"/>
                  <a:cs typeface="Times New Roman" panose="02020603050405020304" pitchFamily="18" charset="0"/>
                </a:rPr>
                <a:t>*Market</a:t>
              </a:r>
              <a:r>
                <a:rPr lang="it-IT" sz="160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Risk Premium</a:t>
              </a:r>
              <a:endParaRPr lang="it-IT" sz="16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2" name="CasellaDiTesto 1">
              <a:extLst>
                <a:ext uri="{FF2B5EF4-FFF2-40B4-BE49-F238E27FC236}">
                  <a16:creationId xmlns:a16="http://schemas.microsoft.com/office/drawing/2014/main" id="{8E945995-1F80-3049-BD15-B311B5B6E2C6}"/>
                </a:ext>
              </a:extLst>
            </xdr:cNvPr>
            <xdr:cNvSpPr txBox="1"/>
          </xdr:nvSpPr>
          <xdr:spPr>
            <a:xfrm>
              <a:off x="18210893" y="2199820"/>
              <a:ext cx="4798785" cy="47897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it-IT" sz="1600">
                  <a:latin typeface="Times New Roman" panose="02020603050405020304" pitchFamily="18" charset="0"/>
                  <a:cs typeface="Times New Roman" panose="02020603050405020304" pitchFamily="18" charset="0"/>
                </a:rPr>
                <a:t>          CAPM:  Ke= Rf+</a:t>
              </a:r>
              <a:r>
                <a:rPr lang="it-IT" sz="16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</a:t>
              </a:r>
              <a:r>
                <a:rPr lang="it-IT" sz="1600">
                  <a:latin typeface="Times New Roman" panose="02020603050405020304" pitchFamily="18" charset="0"/>
                  <a:cs typeface="Times New Roman" panose="02020603050405020304" pitchFamily="18" charset="0"/>
                </a:rPr>
                <a:t>*Market</a:t>
              </a:r>
              <a:r>
                <a:rPr lang="it-IT" sz="160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Risk Premium</a:t>
              </a:r>
              <a:endParaRPr lang="it-IT" sz="16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1004187</xdr:colOff>
      <xdr:row>6</xdr:row>
      <xdr:rowOff>191976</xdr:rowOff>
    </xdr:from>
    <xdr:to>
      <xdr:col>4</xdr:col>
      <xdr:colOff>383953</xdr:colOff>
      <xdr:row>8</xdr:row>
      <xdr:rowOff>14767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A0AA40B7-49DE-9B44-82A4-A6E323BD4353}"/>
            </a:ext>
          </a:extLst>
        </xdr:cNvPr>
        <xdr:cNvSpPr txBox="1"/>
      </xdr:nvSpPr>
      <xdr:spPr>
        <a:xfrm>
          <a:off x="7011287" y="877776"/>
          <a:ext cx="738666" cy="22919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Historical</a:t>
          </a:r>
        </a:p>
      </xdr:txBody>
    </xdr:sp>
    <xdr:clientData/>
  </xdr:twoCellAnchor>
  <xdr:twoCellAnchor>
    <xdr:from>
      <xdr:col>3</xdr:col>
      <xdr:colOff>834852</xdr:colOff>
      <xdr:row>6</xdr:row>
      <xdr:rowOff>170811</xdr:rowOff>
    </xdr:from>
    <xdr:to>
      <xdr:col>4</xdr:col>
      <xdr:colOff>783165</xdr:colOff>
      <xdr:row>7</xdr:row>
      <xdr:rowOff>194734</xdr:rowOff>
    </xdr:to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35503EA9-B514-AF49-8555-346C1712CACB}"/>
            </a:ext>
          </a:extLst>
        </xdr:cNvPr>
        <xdr:cNvSpPr txBox="1"/>
      </xdr:nvSpPr>
      <xdr:spPr>
        <a:xfrm>
          <a:off x="4207408" y="1356144"/>
          <a:ext cx="1133646" cy="22147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Historical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F6AA3A4-6680-D946-B7DC-D6DC786CBC16}">
  <we:reference id="026e7b2b-fa4d-4fe0-bf3b-b965f6f25bee" version="1.0.0.80" store="EXCatalog" storeType="EXCatalog"/>
  <we:alternateReferences>
    <we:reference id="WA200000565" version="1.0.0.8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E995-1FAC-344B-BE71-8290ADFD47E1}">
  <dimension ref="C4:N45"/>
  <sheetViews>
    <sheetView tabSelected="1" topLeftCell="B1" zoomScale="75" workbookViewId="0">
      <selection activeCell="K9" sqref="K9"/>
    </sheetView>
  </sheetViews>
  <sheetFormatPr baseColWidth="10" defaultRowHeight="16" x14ac:dyDescent="0.2"/>
  <cols>
    <col min="4" max="4" width="30.33203125" customWidth="1"/>
    <col min="5" max="5" width="28.1640625" bestFit="1" customWidth="1"/>
    <col min="6" max="6" width="50.6640625" customWidth="1"/>
    <col min="7" max="7" width="29.6640625" bestFit="1" customWidth="1"/>
    <col min="8" max="8" width="41.5" customWidth="1"/>
    <col min="10" max="10" width="13.6640625" customWidth="1"/>
    <col min="11" max="11" width="15.5" customWidth="1"/>
    <col min="12" max="12" width="13.5" customWidth="1"/>
  </cols>
  <sheetData>
    <row r="4" spans="3:9" x14ac:dyDescent="0.2">
      <c r="C4" s="11"/>
      <c r="D4" s="11"/>
      <c r="E4" s="11"/>
      <c r="F4" s="11"/>
      <c r="G4" s="11"/>
      <c r="H4" s="11"/>
      <c r="I4" s="11"/>
    </row>
    <row r="5" spans="3:9" ht="17" thickBot="1" x14ac:dyDescent="0.25">
      <c r="C5" s="11"/>
      <c r="D5" s="11"/>
      <c r="E5" s="11"/>
      <c r="F5" s="11"/>
      <c r="G5" s="11"/>
      <c r="H5" s="11"/>
    </row>
    <row r="6" spans="3:9" ht="23" thickBot="1" x14ac:dyDescent="0.35">
      <c r="C6" s="11"/>
      <c r="D6" s="11"/>
      <c r="E6" s="11"/>
      <c r="F6" s="19" t="s">
        <v>0</v>
      </c>
      <c r="G6" s="11"/>
      <c r="H6" s="11"/>
      <c r="I6" s="11"/>
    </row>
    <row r="7" spans="3:9" ht="17" thickBot="1" x14ac:dyDescent="0.25">
      <c r="C7" s="11"/>
      <c r="D7" s="12"/>
      <c r="E7" s="12"/>
      <c r="F7" s="13"/>
      <c r="G7" s="14"/>
      <c r="H7" s="11"/>
      <c r="I7" s="11"/>
    </row>
    <row r="8" spans="3:9" ht="19" thickBot="1" x14ac:dyDescent="0.25">
      <c r="C8" s="11"/>
      <c r="D8" s="21" t="s">
        <v>1</v>
      </c>
      <c r="E8" s="20" t="s">
        <v>2</v>
      </c>
      <c r="F8" s="22" t="s">
        <v>23</v>
      </c>
      <c r="G8" s="20" t="s">
        <v>3</v>
      </c>
      <c r="H8" s="10" t="s">
        <v>4</v>
      </c>
      <c r="I8" s="11"/>
    </row>
    <row r="9" spans="3:9" ht="18" customHeight="1" x14ac:dyDescent="0.2">
      <c r="C9" s="15"/>
      <c r="D9" s="2" t="s">
        <v>5</v>
      </c>
      <c r="E9" s="3" t="s">
        <v>8</v>
      </c>
      <c r="F9" s="3" t="s">
        <v>24</v>
      </c>
      <c r="G9" s="4" t="s">
        <v>16</v>
      </c>
      <c r="H9" s="4" t="s">
        <v>18</v>
      </c>
      <c r="I9" s="11"/>
    </row>
    <row r="10" spans="3:9" ht="19" customHeight="1" x14ac:dyDescent="0.2">
      <c r="C10" s="16"/>
      <c r="D10" s="5" t="s">
        <v>27</v>
      </c>
      <c r="E10" s="5" t="s">
        <v>7</v>
      </c>
      <c r="F10" s="1" t="s">
        <v>13</v>
      </c>
      <c r="G10" s="6" t="s">
        <v>17</v>
      </c>
      <c r="H10" s="6" t="s">
        <v>19</v>
      </c>
      <c r="I10" s="11"/>
    </row>
    <row r="11" spans="3:9" ht="20" customHeight="1" x14ac:dyDescent="0.2">
      <c r="C11" s="17"/>
      <c r="D11" s="3" t="s">
        <v>29</v>
      </c>
      <c r="E11" s="3" t="s">
        <v>6</v>
      </c>
      <c r="F11" s="7" t="s">
        <v>14</v>
      </c>
      <c r="G11" s="4"/>
      <c r="H11" s="4"/>
      <c r="I11" s="11"/>
    </row>
    <row r="12" spans="3:9" ht="21" customHeight="1" x14ac:dyDescent="0.2">
      <c r="C12" s="18"/>
      <c r="D12" s="5" t="s">
        <v>30</v>
      </c>
      <c r="E12" s="5" t="s">
        <v>9</v>
      </c>
      <c r="F12" s="1" t="s">
        <v>15</v>
      </c>
      <c r="G12" s="6"/>
      <c r="H12" s="6"/>
      <c r="I12" s="11"/>
    </row>
    <row r="13" spans="3:9" ht="20" customHeight="1" x14ac:dyDescent="0.2">
      <c r="C13" s="11"/>
      <c r="D13" s="5" t="s">
        <v>31</v>
      </c>
      <c r="E13" s="5" t="s">
        <v>10</v>
      </c>
      <c r="F13" s="1" t="s">
        <v>28</v>
      </c>
      <c r="G13" s="6"/>
      <c r="H13" s="6"/>
      <c r="I13" s="11"/>
    </row>
    <row r="14" spans="3:9" ht="20" customHeight="1" x14ac:dyDescent="0.2">
      <c r="C14" s="11"/>
      <c r="D14" s="5" t="s">
        <v>32</v>
      </c>
      <c r="E14" s="5" t="s">
        <v>11</v>
      </c>
      <c r="F14" s="5" t="s">
        <v>20</v>
      </c>
      <c r="G14" s="6"/>
      <c r="H14" s="6"/>
      <c r="I14" s="11"/>
    </row>
    <row r="15" spans="3:9" ht="21" customHeight="1" x14ac:dyDescent="0.2">
      <c r="C15" s="11"/>
      <c r="D15" s="8" t="s">
        <v>33</v>
      </c>
      <c r="E15" s="8" t="s">
        <v>12</v>
      </c>
      <c r="F15" s="8" t="s">
        <v>21</v>
      </c>
      <c r="G15" s="9"/>
      <c r="H15" s="9"/>
      <c r="I15" s="11"/>
    </row>
    <row r="16" spans="3:9" ht="20" customHeight="1" x14ac:dyDescent="0.2">
      <c r="C16" s="18"/>
      <c r="D16" s="5" t="s">
        <v>34</v>
      </c>
      <c r="E16" s="5"/>
      <c r="F16" s="5" t="s">
        <v>22</v>
      </c>
      <c r="G16" s="6"/>
      <c r="H16" s="6"/>
      <c r="I16" s="11"/>
    </row>
    <row r="17" spans="3:14" ht="22" customHeight="1" x14ac:dyDescent="0.2">
      <c r="C17" s="24"/>
      <c r="D17" s="5" t="s">
        <v>35</v>
      </c>
      <c r="E17" s="5"/>
      <c r="F17" s="5" t="s">
        <v>25</v>
      </c>
      <c r="G17" s="6"/>
      <c r="H17" s="6"/>
      <c r="I17" s="11"/>
    </row>
    <row r="18" spans="3:14" ht="17" x14ac:dyDescent="0.2">
      <c r="C18" s="12"/>
      <c r="D18" s="5"/>
      <c r="E18" s="5"/>
      <c r="F18" s="5" t="s">
        <v>26</v>
      </c>
      <c r="G18" s="6"/>
      <c r="H18" s="6"/>
      <c r="I18" s="11"/>
    </row>
    <row r="19" spans="3:14" ht="17" x14ac:dyDescent="0.2">
      <c r="C19" s="12"/>
      <c r="D19" s="25"/>
      <c r="E19" s="26"/>
      <c r="F19" s="28" t="s">
        <v>36</v>
      </c>
      <c r="G19" s="25"/>
      <c r="H19" s="27"/>
      <c r="I19" s="11"/>
    </row>
    <row r="20" spans="3:14" x14ac:dyDescent="0.2">
      <c r="C20" s="12"/>
      <c r="D20" s="11"/>
      <c r="E20" s="12"/>
      <c r="F20" s="11"/>
      <c r="G20" s="11"/>
      <c r="H20" s="11"/>
      <c r="I20" s="11"/>
    </row>
    <row r="21" spans="3:14" x14ac:dyDescent="0.2">
      <c r="C21" s="11"/>
      <c r="D21" s="11"/>
      <c r="E21" s="11"/>
      <c r="F21" s="11"/>
      <c r="G21" s="11"/>
      <c r="H21" s="11"/>
      <c r="I21" s="11"/>
    </row>
    <row r="26" spans="3:14" ht="17" thickBot="1" x14ac:dyDescent="0.25"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3:14" ht="19" thickBot="1" x14ac:dyDescent="0.25">
      <c r="C27" s="11"/>
      <c r="D27" s="21" t="s">
        <v>1</v>
      </c>
      <c r="E27" s="20" t="s">
        <v>2</v>
      </c>
      <c r="F27" s="22" t="s">
        <v>23</v>
      </c>
      <c r="G27" s="20" t="s">
        <v>3</v>
      </c>
      <c r="H27" s="10" t="s">
        <v>4</v>
      </c>
      <c r="J27" s="11"/>
      <c r="K27" s="71" t="s">
        <v>37</v>
      </c>
      <c r="L27" s="52" t="s">
        <v>38</v>
      </c>
      <c r="M27" s="11"/>
      <c r="N27" s="11"/>
    </row>
    <row r="28" spans="3:14" x14ac:dyDescent="0.2">
      <c r="C28" s="11"/>
      <c r="D28" s="23">
        <f>90-E28-F28-G28-H28</f>
        <v>29</v>
      </c>
      <c r="E28" s="23">
        <v>7</v>
      </c>
      <c r="F28" s="23">
        <v>50</v>
      </c>
      <c r="G28" s="23">
        <v>2</v>
      </c>
      <c r="H28" s="23">
        <v>2</v>
      </c>
      <c r="I28" s="11"/>
      <c r="J28" s="12"/>
      <c r="K28" s="73">
        <f>_xlfn.CEILING.MATH(90*0.33)</f>
        <v>30</v>
      </c>
      <c r="L28" s="72">
        <f>90-K28</f>
        <v>60</v>
      </c>
      <c r="M28" s="11"/>
      <c r="N28" s="11"/>
    </row>
    <row r="29" spans="3:14" x14ac:dyDescent="0.2">
      <c r="C29" s="11"/>
      <c r="D29" s="11"/>
      <c r="E29" s="11"/>
      <c r="F29" s="11"/>
      <c r="G29" s="11"/>
      <c r="H29" s="11"/>
      <c r="I29" s="11"/>
      <c r="J29" s="11"/>
      <c r="K29" s="11"/>
      <c r="L29" s="12"/>
      <c r="M29" s="11"/>
      <c r="N29" s="11"/>
    </row>
    <row r="30" spans="3:14" x14ac:dyDescent="0.2">
      <c r="G30" s="29"/>
      <c r="H30" s="29"/>
      <c r="I30" s="11"/>
      <c r="N30" s="11"/>
    </row>
    <row r="31" spans="3:14" x14ac:dyDescent="0.2">
      <c r="G31" s="29"/>
      <c r="H31" s="29"/>
      <c r="I31" s="11"/>
      <c r="J31" s="11"/>
      <c r="K31" s="11"/>
      <c r="L31" s="11"/>
      <c r="M31" s="11"/>
      <c r="N31" s="11"/>
    </row>
    <row r="32" spans="3:14" x14ac:dyDescent="0.2">
      <c r="G32" s="29"/>
      <c r="H32" s="29"/>
      <c r="I32" s="11"/>
      <c r="J32" s="11"/>
      <c r="K32" s="11"/>
      <c r="L32" s="11"/>
      <c r="M32" s="11"/>
      <c r="N32" s="11"/>
    </row>
    <row r="33" spans="6:14" x14ac:dyDescent="0.2">
      <c r="G33" s="29"/>
      <c r="H33" s="29"/>
      <c r="I33" s="11"/>
      <c r="J33" s="11"/>
      <c r="K33" s="11"/>
      <c r="L33" s="11"/>
      <c r="M33" s="11"/>
      <c r="N33" s="11"/>
    </row>
    <row r="34" spans="6:14" x14ac:dyDescent="0.2">
      <c r="G34" s="29"/>
      <c r="H34" s="29"/>
      <c r="I34" s="11"/>
      <c r="J34" s="11"/>
      <c r="K34" s="11"/>
      <c r="L34" s="11"/>
      <c r="M34" s="11"/>
      <c r="N34" s="11"/>
    </row>
    <row r="35" spans="6:14" x14ac:dyDescent="0.2">
      <c r="G35" s="29"/>
      <c r="H35" s="29"/>
      <c r="I35" s="11"/>
      <c r="J35" s="11"/>
      <c r="K35" s="11"/>
      <c r="L35" s="11"/>
      <c r="M35" s="11"/>
      <c r="N35" s="11"/>
    </row>
    <row r="36" spans="6:14" x14ac:dyDescent="0.2">
      <c r="G36" s="29"/>
      <c r="H36" s="29"/>
      <c r="I36" s="11"/>
      <c r="J36" s="11"/>
      <c r="K36" s="11"/>
      <c r="L36" s="11"/>
      <c r="M36" s="11"/>
      <c r="N36" s="11"/>
    </row>
    <row r="37" spans="6:14" x14ac:dyDescent="0.2">
      <c r="G37" s="29"/>
      <c r="H37" s="29"/>
      <c r="I37" s="11"/>
      <c r="J37" s="11"/>
      <c r="K37" s="11"/>
      <c r="L37" s="11"/>
      <c r="M37" s="11"/>
      <c r="N37" s="11"/>
    </row>
    <row r="38" spans="6:14" x14ac:dyDescent="0.2">
      <c r="G38" s="29"/>
      <c r="H38" s="29"/>
      <c r="I38" s="11"/>
      <c r="J38" s="11"/>
      <c r="K38" s="11"/>
      <c r="L38" s="11"/>
      <c r="M38" s="11"/>
      <c r="N38" s="11"/>
    </row>
    <row r="39" spans="6:14" x14ac:dyDescent="0.2">
      <c r="G39" s="29"/>
      <c r="H39" s="29"/>
      <c r="I39" s="11"/>
      <c r="J39" s="11"/>
      <c r="K39" s="11"/>
      <c r="L39" s="11"/>
      <c r="M39" s="11"/>
      <c r="N39" s="11"/>
    </row>
    <row r="40" spans="6:14" x14ac:dyDescent="0.2">
      <c r="G40" s="29"/>
      <c r="H40" s="29"/>
      <c r="I40" s="11"/>
      <c r="J40" s="11"/>
      <c r="K40" s="11"/>
      <c r="L40" s="11"/>
      <c r="M40" s="11"/>
      <c r="N40" s="11"/>
    </row>
    <row r="41" spans="6:14" x14ac:dyDescent="0.2">
      <c r="G41" s="29"/>
      <c r="H41" s="29"/>
      <c r="I41" s="11"/>
      <c r="J41" s="11"/>
      <c r="K41" s="11"/>
      <c r="L41" s="11"/>
      <c r="M41" s="11"/>
      <c r="N41" s="11"/>
    </row>
    <row r="42" spans="6:14" x14ac:dyDescent="0.2">
      <c r="G42" s="29"/>
      <c r="H42" s="29"/>
      <c r="I42" s="11"/>
      <c r="J42" s="11"/>
      <c r="K42" s="11"/>
      <c r="L42" s="11"/>
      <c r="M42" s="11"/>
      <c r="N42" s="11"/>
    </row>
    <row r="43" spans="6:14" x14ac:dyDescent="0.2">
      <c r="G43" s="29"/>
      <c r="H43" s="29"/>
      <c r="I43" s="11"/>
      <c r="J43" s="11"/>
      <c r="K43" s="11"/>
      <c r="L43" s="11"/>
      <c r="M43" s="11"/>
      <c r="N43" s="11"/>
    </row>
    <row r="44" spans="6:14" x14ac:dyDescent="0.2">
      <c r="G44" s="29"/>
      <c r="H44" s="29"/>
      <c r="I44" s="11"/>
      <c r="J44" s="11"/>
      <c r="K44" s="11"/>
      <c r="L44" s="11"/>
      <c r="M44" s="11"/>
      <c r="N44" s="11"/>
    </row>
    <row r="45" spans="6:14" x14ac:dyDescent="0.2">
      <c r="F45" s="11"/>
      <c r="G45" s="11"/>
      <c r="H45" s="11"/>
      <c r="I45" s="11"/>
      <c r="J45" s="11"/>
      <c r="K45" s="11"/>
      <c r="L45" s="11"/>
      <c r="M45" s="11"/>
      <c r="N45" s="11"/>
    </row>
  </sheetData>
  <sheetProtection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C5B66-ED2B-B649-ABCA-C93F3E094E5B}">
  <dimension ref="B2:P78"/>
  <sheetViews>
    <sheetView topLeftCell="C1" zoomScale="81" workbookViewId="0">
      <pane ySplit="7" topLeftCell="A22" activePane="bottomLeft" state="frozen"/>
      <selection pane="bottomLeft" activeCell="A8" sqref="A8:XFD8"/>
    </sheetView>
  </sheetViews>
  <sheetFormatPr baseColWidth="10" defaultRowHeight="16" x14ac:dyDescent="0.2"/>
  <cols>
    <col min="1" max="1" width="17.33203125" customWidth="1"/>
    <col min="2" max="2" width="61.5" bestFit="1" customWidth="1"/>
    <col min="3" max="3" width="17.83203125" customWidth="1"/>
    <col min="4" max="4" width="18.83203125" customWidth="1"/>
    <col min="5" max="5" width="17" customWidth="1"/>
    <col min="6" max="7" width="17.33203125" customWidth="1"/>
    <col min="8" max="8" width="17.1640625" customWidth="1"/>
    <col min="9" max="9" width="19" customWidth="1"/>
    <col min="10" max="10" width="18.33203125" customWidth="1"/>
    <col min="11" max="11" width="18.83203125" customWidth="1"/>
    <col min="12" max="12" width="17.6640625" customWidth="1"/>
    <col min="13" max="13" width="17.33203125" customWidth="1"/>
    <col min="14" max="15" width="43.1640625" bestFit="1" customWidth="1"/>
  </cols>
  <sheetData>
    <row r="2" spans="2:16" ht="17" thickBot="1" x14ac:dyDescent="0.25"/>
    <row r="3" spans="2:16" ht="21" thickBot="1" x14ac:dyDescent="0.3">
      <c r="B3" s="93" t="s">
        <v>43</v>
      </c>
      <c r="C3" s="11"/>
      <c r="D3" s="11"/>
      <c r="E3" s="11"/>
      <c r="F3" s="11"/>
      <c r="G3" s="11"/>
      <c r="H3" s="11"/>
      <c r="I3" s="11"/>
      <c r="J3" s="11"/>
    </row>
    <row r="4" spans="2:16" x14ac:dyDescent="0.2">
      <c r="B4" s="11"/>
      <c r="C4" s="11"/>
      <c r="D4" s="11"/>
      <c r="E4" s="11"/>
      <c r="F4" s="11"/>
      <c r="G4" s="11"/>
      <c r="H4" s="11"/>
      <c r="I4" s="11"/>
      <c r="J4" s="11"/>
    </row>
    <row r="5" spans="2:16" ht="17" thickBot="1" x14ac:dyDescent="0.25">
      <c r="B5" s="11"/>
      <c r="C5" s="97"/>
      <c r="D5" s="31"/>
      <c r="E5" s="104" t="s">
        <v>110</v>
      </c>
      <c r="F5" s="98"/>
      <c r="G5" s="98"/>
      <c r="H5" s="98" t="s">
        <v>70</v>
      </c>
      <c r="I5" s="98"/>
      <c r="J5" s="98"/>
      <c r="K5" s="11"/>
    </row>
    <row r="6" spans="2:16" ht="17" thickBot="1" x14ac:dyDescent="0.25">
      <c r="B6" s="11"/>
      <c r="C6" s="11"/>
      <c r="D6" s="11"/>
      <c r="E6" s="76">
        <v>0</v>
      </c>
      <c r="F6" s="76">
        <v>1</v>
      </c>
      <c r="G6" s="76">
        <v>2</v>
      </c>
      <c r="H6" s="76">
        <v>3</v>
      </c>
      <c r="I6" s="76">
        <v>4</v>
      </c>
      <c r="J6" s="76">
        <v>5</v>
      </c>
      <c r="K6" s="11"/>
      <c r="L6" s="123" t="s">
        <v>129</v>
      </c>
      <c r="M6" s="124" t="s">
        <v>130</v>
      </c>
      <c r="N6" s="123" t="s">
        <v>154</v>
      </c>
      <c r="O6" s="52"/>
    </row>
    <row r="7" spans="2:16" x14ac:dyDescent="0.2">
      <c r="B7" t="s">
        <v>49</v>
      </c>
      <c r="C7" s="94">
        <v>2023</v>
      </c>
      <c r="D7" s="94">
        <v>2024</v>
      </c>
      <c r="E7" s="94">
        <v>2025</v>
      </c>
      <c r="F7" s="94">
        <v>2026</v>
      </c>
      <c r="G7" s="94">
        <v>2027</v>
      </c>
      <c r="H7" s="94">
        <v>2028</v>
      </c>
      <c r="I7" s="94">
        <v>2029</v>
      </c>
      <c r="J7" s="94">
        <v>2030</v>
      </c>
      <c r="K7" s="12"/>
      <c r="L7" s="125" t="s">
        <v>127</v>
      </c>
      <c r="M7" s="125" t="s">
        <v>128</v>
      </c>
      <c r="N7" s="260" t="str">
        <f>L7</f>
        <v>2026-2027</v>
      </c>
      <c r="O7" s="261" t="str">
        <f>M7</f>
        <v>2028-2030</v>
      </c>
    </row>
    <row r="8" spans="2:16" ht="17" customHeight="1" x14ac:dyDescent="0.2">
      <c r="B8" s="99" t="s">
        <v>84</v>
      </c>
      <c r="C8" s="111">
        <v>657</v>
      </c>
      <c r="D8" s="99">
        <v>652</v>
      </c>
      <c r="E8" s="111">
        <v>635</v>
      </c>
      <c r="F8" s="122">
        <f>E8*(1+$L$8)</f>
        <v>663.57499999999993</v>
      </c>
      <c r="G8" s="122">
        <f>F8*(1+$L$8)</f>
        <v>693.4358749999999</v>
      </c>
      <c r="H8" s="122">
        <f>G8*(1+M8)</f>
        <v>710.77177187499979</v>
      </c>
      <c r="I8" s="122">
        <f>H8*(1+M8)</f>
        <v>728.54106617187472</v>
      </c>
      <c r="J8" s="122">
        <f>I8*(1+M8)</f>
        <v>746.75459282617157</v>
      </c>
      <c r="K8" s="12"/>
      <c r="L8" s="126">
        <v>4.4999999999999998E-2</v>
      </c>
      <c r="M8" s="127">
        <v>2.5000000000000001E-2</v>
      </c>
      <c r="N8" s="246" t="s">
        <v>148</v>
      </c>
      <c r="O8" s="237" t="s">
        <v>149</v>
      </c>
    </row>
    <row r="9" spans="2:16" ht="15" customHeight="1" x14ac:dyDescent="0.2">
      <c r="B9" s="100" t="s">
        <v>85</v>
      </c>
      <c r="C9" s="114">
        <v>2</v>
      </c>
      <c r="D9" s="100">
        <v>1</v>
      </c>
      <c r="E9" s="114">
        <v>1</v>
      </c>
      <c r="F9" s="114">
        <v>1</v>
      </c>
      <c r="G9" s="114">
        <v>1</v>
      </c>
      <c r="H9" s="114">
        <v>1</v>
      </c>
      <c r="I9" s="114">
        <v>1</v>
      </c>
      <c r="J9" s="96">
        <v>1</v>
      </c>
      <c r="K9" s="12"/>
      <c r="L9" s="136">
        <v>0</v>
      </c>
      <c r="M9" s="154">
        <f>L9</f>
        <v>0</v>
      </c>
      <c r="N9" s="247" t="s">
        <v>150</v>
      </c>
      <c r="O9" s="232" t="s">
        <v>150</v>
      </c>
    </row>
    <row r="10" spans="2:16" x14ac:dyDescent="0.2">
      <c r="B10" s="101" t="s">
        <v>86</v>
      </c>
      <c r="C10" s="96">
        <f>C8+C9</f>
        <v>659</v>
      </c>
      <c r="D10" s="108">
        <f>D8+D9</f>
        <v>653</v>
      </c>
      <c r="E10" s="96">
        <f>SUM(E8:E9)</f>
        <v>636</v>
      </c>
      <c r="F10" s="115">
        <f>SUM(F8:F9)</f>
        <v>664.57499999999993</v>
      </c>
      <c r="G10" s="115">
        <f t="shared" ref="G10:J10" si="0">SUM(G8:G9)</f>
        <v>694.4358749999999</v>
      </c>
      <c r="H10" s="115">
        <f>SUM(H8:H9)</f>
        <v>711.77177187499979</v>
      </c>
      <c r="I10" s="115">
        <f t="shared" si="0"/>
        <v>729.54106617187472</v>
      </c>
      <c r="J10" s="122">
        <f t="shared" si="0"/>
        <v>747.75459282617157</v>
      </c>
      <c r="K10" s="141"/>
      <c r="L10" s="138">
        <f>(G10-F10)/F10</f>
        <v>4.4932287552194965E-2</v>
      </c>
      <c r="M10" s="156">
        <f>(J10-H10)/H10</f>
        <v>5.0553874673033586E-2</v>
      </c>
      <c r="N10" s="248" t="s">
        <v>151</v>
      </c>
      <c r="O10" s="233" t="s">
        <v>151</v>
      </c>
      <c r="P10" s="74"/>
    </row>
    <row r="11" spans="2:16" ht="17" thickBot="1" x14ac:dyDescent="0.25">
      <c r="B11" s="11" t="s">
        <v>87</v>
      </c>
      <c r="C11" s="115">
        <v>-12</v>
      </c>
      <c r="D11" s="11">
        <v>-12</v>
      </c>
      <c r="E11" s="115">
        <v>-12</v>
      </c>
      <c r="F11" s="115">
        <v>-12</v>
      </c>
      <c r="G11" s="115">
        <v>-12</v>
      </c>
      <c r="H11" s="115">
        <v>-12</v>
      </c>
      <c r="I11" s="115">
        <v>-12</v>
      </c>
      <c r="J11" s="115">
        <v>-12</v>
      </c>
      <c r="K11" s="12"/>
      <c r="L11" s="133">
        <f>L9</f>
        <v>0</v>
      </c>
      <c r="M11" s="133">
        <f>M9</f>
        <v>0</v>
      </c>
      <c r="N11" s="249" t="s">
        <v>152</v>
      </c>
      <c r="O11" s="234" t="s">
        <v>152</v>
      </c>
    </row>
    <row r="12" spans="2:16" ht="17" thickBot="1" x14ac:dyDescent="0.25">
      <c r="B12" s="102" t="s">
        <v>88</v>
      </c>
      <c r="C12" s="116">
        <f>SUM(C10:C11)</f>
        <v>647</v>
      </c>
      <c r="D12" s="102">
        <f>D10+D11</f>
        <v>641</v>
      </c>
      <c r="E12" s="116">
        <f>SUM(E10:E11)</f>
        <v>624</v>
      </c>
      <c r="F12" s="118">
        <f>SUM(F10:F11)</f>
        <v>652.57499999999993</v>
      </c>
      <c r="G12" s="118">
        <f t="shared" ref="G12:J12" si="1">SUM(G10:G11)</f>
        <v>682.4358749999999</v>
      </c>
      <c r="H12" s="118">
        <f t="shared" si="1"/>
        <v>699.77177187499979</v>
      </c>
      <c r="I12" s="118">
        <f t="shared" si="1"/>
        <v>717.54106617187472</v>
      </c>
      <c r="J12" s="118">
        <f t="shared" si="1"/>
        <v>735.75459282617157</v>
      </c>
      <c r="K12" s="142"/>
      <c r="L12" s="144">
        <f>(G12-F12)/F12</f>
        <v>4.5758533501896285E-2</v>
      </c>
      <c r="M12" s="229">
        <f>(J12-H12)/H12</f>
        <v>5.1420795175486728E-2</v>
      </c>
      <c r="N12" s="235" t="s">
        <v>151</v>
      </c>
      <c r="O12" s="245" t="s">
        <v>151</v>
      </c>
    </row>
    <row r="13" spans="2:16" x14ac:dyDescent="0.2">
      <c r="B13" s="11" t="s">
        <v>89</v>
      </c>
      <c r="C13" s="96">
        <f>SUM(C14:C15)</f>
        <v>-12</v>
      </c>
      <c r="D13" s="11">
        <v>-16</v>
      </c>
      <c r="E13" s="121">
        <f>SUM(E14:E15)</f>
        <v>-11</v>
      </c>
      <c r="F13" s="11">
        <f t="shared" ref="F13:J15" si="2">E13*(1+$L$13)</f>
        <v>-11.22</v>
      </c>
      <c r="G13" s="109">
        <f t="shared" si="2"/>
        <v>-11.444400000000002</v>
      </c>
      <c r="H13" s="109">
        <f t="shared" si="2"/>
        <v>-11.673288000000001</v>
      </c>
      <c r="I13" s="109">
        <f t="shared" si="2"/>
        <v>-11.906753760000001</v>
      </c>
      <c r="J13" s="109">
        <f t="shared" si="2"/>
        <v>-12.144888835200002</v>
      </c>
      <c r="K13" s="12"/>
      <c r="L13" s="128">
        <v>0.02</v>
      </c>
      <c r="M13" s="128">
        <f>L13</f>
        <v>0.02</v>
      </c>
      <c r="N13" s="254" t="s">
        <v>155</v>
      </c>
      <c r="O13" s="237" t="s">
        <v>155</v>
      </c>
    </row>
    <row r="14" spans="2:16" x14ac:dyDescent="0.2">
      <c r="B14" s="107" t="s">
        <v>114</v>
      </c>
      <c r="C14" s="96">
        <v>98</v>
      </c>
      <c r="D14" s="11">
        <v>123</v>
      </c>
      <c r="E14" s="115">
        <v>165</v>
      </c>
      <c r="F14" s="11">
        <f t="shared" si="2"/>
        <v>168.3</v>
      </c>
      <c r="G14" s="109">
        <f t="shared" si="2"/>
        <v>171.66600000000003</v>
      </c>
      <c r="H14" s="109">
        <f t="shared" si="2"/>
        <v>175.09932000000003</v>
      </c>
      <c r="I14" s="109">
        <f t="shared" si="2"/>
        <v>178.60130640000003</v>
      </c>
      <c r="J14" s="109">
        <f t="shared" si="2"/>
        <v>182.17333252800003</v>
      </c>
      <c r="K14" s="12"/>
      <c r="L14" s="130">
        <f>L13</f>
        <v>0.02</v>
      </c>
      <c r="M14" s="130">
        <f t="shared" ref="M14:M15" si="3">M13</f>
        <v>0.02</v>
      </c>
      <c r="N14" s="250"/>
      <c r="O14" s="239"/>
    </row>
    <row r="15" spans="2:16" x14ac:dyDescent="0.2">
      <c r="B15" s="107" t="s">
        <v>115</v>
      </c>
      <c r="C15" s="96">
        <v>-110</v>
      </c>
      <c r="D15" s="11">
        <v>-139</v>
      </c>
      <c r="E15" s="96">
        <v>-176</v>
      </c>
      <c r="F15" s="11">
        <f t="shared" si="2"/>
        <v>-179.52</v>
      </c>
      <c r="G15" s="109">
        <f t="shared" si="2"/>
        <v>-183.11040000000003</v>
      </c>
      <c r="H15" s="109">
        <f t="shared" si="2"/>
        <v>-186.77260800000002</v>
      </c>
      <c r="I15" s="109">
        <f t="shared" si="2"/>
        <v>-190.50806016000001</v>
      </c>
      <c r="J15" s="109">
        <f t="shared" si="2"/>
        <v>-194.31822136320002</v>
      </c>
      <c r="K15" s="12"/>
      <c r="L15" s="131">
        <f t="shared" ref="L15" si="4">L14</f>
        <v>0.02</v>
      </c>
      <c r="M15" s="130">
        <f t="shared" si="3"/>
        <v>0.02</v>
      </c>
      <c r="N15" s="250"/>
      <c r="O15" s="239"/>
    </row>
    <row r="16" spans="2:16" x14ac:dyDescent="0.2">
      <c r="B16" s="11" t="s">
        <v>90</v>
      </c>
      <c r="C16" s="96">
        <v>31</v>
      </c>
      <c r="D16" s="11">
        <v>38</v>
      </c>
      <c r="E16" s="96">
        <v>46</v>
      </c>
      <c r="F16" s="11">
        <f>E16*(1+$L$16)</f>
        <v>47.15</v>
      </c>
      <c r="G16" s="109">
        <f>F16*(1+$L$16)</f>
        <v>48.328749999999992</v>
      </c>
      <c r="H16" s="109">
        <f>G16*(1+$L$16)</f>
        <v>49.536968749999986</v>
      </c>
      <c r="I16" s="109">
        <f>H16*(1+$L$16)</f>
        <v>50.775392968749983</v>
      </c>
      <c r="J16" s="109">
        <f>I16*(1+$L$16)</f>
        <v>52.044777792968731</v>
      </c>
      <c r="K16" s="12"/>
      <c r="L16" s="132">
        <v>2.5000000000000001E-2</v>
      </c>
      <c r="M16" s="127">
        <f>L16</f>
        <v>2.5000000000000001E-2</v>
      </c>
      <c r="N16" s="250" t="s">
        <v>159</v>
      </c>
      <c r="O16" s="239" t="s">
        <v>159</v>
      </c>
    </row>
    <row r="17" spans="2:15" x14ac:dyDescent="0.2">
      <c r="B17" s="11" t="s">
        <v>91</v>
      </c>
      <c r="C17" s="96">
        <v>-108</v>
      </c>
      <c r="D17" s="11">
        <v>-119</v>
      </c>
      <c r="E17" s="96">
        <v>-118</v>
      </c>
      <c r="F17" s="109">
        <f>E17*(1+$L$17)</f>
        <v>-121.54</v>
      </c>
      <c r="G17" s="109">
        <f>F17*(1+$L$17)</f>
        <v>-125.18620000000001</v>
      </c>
      <c r="H17" s="109">
        <f>G17*(1+$M$17)</f>
        <v>-128.315855</v>
      </c>
      <c r="I17" s="109">
        <f>H17*(1+$M$17)</f>
        <v>-131.52375137499999</v>
      </c>
      <c r="J17" s="109">
        <f>I17*(1+$M$17)</f>
        <v>-134.81184515937497</v>
      </c>
      <c r="K17" s="12"/>
      <c r="L17" s="131">
        <v>0.03</v>
      </c>
      <c r="M17" s="127">
        <v>2.5000000000000001E-2</v>
      </c>
      <c r="N17" s="250" t="s">
        <v>156</v>
      </c>
      <c r="O17" s="239" t="s">
        <v>158</v>
      </c>
    </row>
    <row r="18" spans="2:15" ht="17" thickBot="1" x14ac:dyDescent="0.25">
      <c r="B18" s="11" t="s">
        <v>92</v>
      </c>
      <c r="C18" s="96">
        <v>3</v>
      </c>
      <c r="D18" s="11">
        <v>6</v>
      </c>
      <c r="E18" s="96">
        <v>11</v>
      </c>
      <c r="F18" s="115">
        <f>E18</f>
        <v>11</v>
      </c>
      <c r="G18" s="115">
        <f t="shared" ref="G18:J18" si="5">F18</f>
        <v>11</v>
      </c>
      <c r="H18" s="115">
        <f t="shared" si="5"/>
        <v>11</v>
      </c>
      <c r="I18" s="115">
        <f t="shared" si="5"/>
        <v>11</v>
      </c>
      <c r="J18" s="115">
        <f t="shared" si="5"/>
        <v>11</v>
      </c>
      <c r="K18" s="12"/>
      <c r="L18" s="134">
        <v>0</v>
      </c>
      <c r="M18" s="137">
        <v>0</v>
      </c>
      <c r="N18" s="255" t="s">
        <v>157</v>
      </c>
      <c r="O18" s="234" t="s">
        <v>157</v>
      </c>
    </row>
    <row r="19" spans="2:15" ht="17" thickBot="1" x14ac:dyDescent="0.25">
      <c r="B19" s="102" t="s">
        <v>93</v>
      </c>
      <c r="C19" s="116">
        <f>C18+C17+C16+C13+C12</f>
        <v>561</v>
      </c>
      <c r="D19" s="102">
        <f>SUM(D12:D13,D16:D18)</f>
        <v>550</v>
      </c>
      <c r="E19" s="116">
        <f>SUM(E16:E18,E13,E12)</f>
        <v>552</v>
      </c>
      <c r="F19" s="118">
        <f>SUM(F16:F18,F12:F13)</f>
        <v>577.96499999999992</v>
      </c>
      <c r="G19" s="118">
        <f>SUM(G16:G18,G12:G13)</f>
        <v>605.13402499999995</v>
      </c>
      <c r="H19" s="118">
        <f t="shared" ref="H19" si="6">SUM(H16:H18,H12:H13)</f>
        <v>620.3195976249998</v>
      </c>
      <c r="I19" s="118">
        <f>SUM(I16:I18,I12:I13)</f>
        <v>635.88595400562474</v>
      </c>
      <c r="J19" s="118">
        <f>SUM(J16:J18,J12:J13)</f>
        <v>651.84263662456533</v>
      </c>
      <c r="K19" s="142"/>
      <c r="L19" s="145">
        <f>(G19-F19)/F19</f>
        <v>4.7008080074052994E-2</v>
      </c>
      <c r="M19" s="144">
        <f>(J19-H19)/H19</f>
        <v>5.081741592601121E-2</v>
      </c>
      <c r="N19" s="235" t="s">
        <v>151</v>
      </c>
      <c r="O19" s="245" t="s">
        <v>151</v>
      </c>
    </row>
    <row r="20" spans="2:15" x14ac:dyDescent="0.2">
      <c r="B20" s="11" t="s">
        <v>94</v>
      </c>
      <c r="C20" s="96">
        <v>3</v>
      </c>
      <c r="D20" s="11">
        <v>1</v>
      </c>
      <c r="E20" s="96">
        <v>1</v>
      </c>
      <c r="F20" s="109">
        <f>E20*(1+$L$20)</f>
        <v>1.0249999999999999</v>
      </c>
      <c r="G20" s="109">
        <f>F20*(1+$L$20)</f>
        <v>1.0506249999999999</v>
      </c>
      <c r="H20" s="109">
        <f>G20*(1+$L$20)</f>
        <v>1.0768906249999999</v>
      </c>
      <c r="I20" s="109">
        <f>H20*(1+$L$20)</f>
        <v>1.1038128906249998</v>
      </c>
      <c r="J20" s="109">
        <f>I20*(1+$L$20)</f>
        <v>1.1314082128906247</v>
      </c>
      <c r="K20" s="12"/>
      <c r="L20" s="126">
        <v>2.5000000000000001E-2</v>
      </c>
      <c r="M20" s="243">
        <v>2.5000000000000001E-2</v>
      </c>
      <c r="N20" s="252" t="s">
        <v>159</v>
      </c>
      <c r="O20" s="241" t="s">
        <v>159</v>
      </c>
    </row>
    <row r="21" spans="2:15" x14ac:dyDescent="0.2">
      <c r="B21" s="11" t="s">
        <v>95</v>
      </c>
      <c r="C21" s="96">
        <v>-82</v>
      </c>
      <c r="D21" s="11">
        <v>-74</v>
      </c>
      <c r="E21" s="96">
        <v>-71</v>
      </c>
      <c r="F21" s="11">
        <f>E21*(1+$L$21)</f>
        <v>-69.58</v>
      </c>
      <c r="G21" s="109">
        <f>F21*(1+$L$21)</f>
        <v>-68.188400000000001</v>
      </c>
      <c r="H21" s="109">
        <f>G21*(1+$M$21)</f>
        <v>-69.552168000000009</v>
      </c>
      <c r="I21" s="109">
        <f>H21*(1+$M$21)</f>
        <v>-70.943211360000006</v>
      </c>
      <c r="J21" s="109">
        <f>I21*(1+$M$21)</f>
        <v>-72.36207558720001</v>
      </c>
      <c r="K21" s="12"/>
      <c r="L21" s="129">
        <v>-0.02</v>
      </c>
      <c r="M21" s="128">
        <v>0.02</v>
      </c>
      <c r="N21" s="250" t="s">
        <v>160</v>
      </c>
      <c r="O21" s="239" t="s">
        <v>155</v>
      </c>
    </row>
    <row r="22" spans="2:15" ht="17" thickBot="1" x14ac:dyDescent="0.25">
      <c r="B22" s="11" t="s">
        <v>96</v>
      </c>
      <c r="C22" s="96">
        <v>-5</v>
      </c>
      <c r="D22" s="11">
        <v>-4</v>
      </c>
      <c r="E22" s="96">
        <v>-3</v>
      </c>
      <c r="F22" s="115">
        <f>E22</f>
        <v>-3</v>
      </c>
      <c r="G22" s="115">
        <f t="shared" ref="G22:J22" si="7">F22</f>
        <v>-3</v>
      </c>
      <c r="H22" s="115">
        <f t="shared" si="7"/>
        <v>-3</v>
      </c>
      <c r="I22" s="115">
        <f t="shared" si="7"/>
        <v>-3</v>
      </c>
      <c r="J22" s="115">
        <f t="shared" si="7"/>
        <v>-3</v>
      </c>
      <c r="K22" s="12"/>
      <c r="L22" s="140">
        <v>0</v>
      </c>
      <c r="M22" s="137">
        <v>0</v>
      </c>
      <c r="N22" s="256" t="s">
        <v>161</v>
      </c>
      <c r="O22" s="238" t="s">
        <v>161</v>
      </c>
    </row>
    <row r="23" spans="2:15" ht="17" thickBot="1" x14ac:dyDescent="0.25">
      <c r="B23" s="102" t="s">
        <v>112</v>
      </c>
      <c r="C23" s="116">
        <f>SUM(C19:C22)</f>
        <v>477</v>
      </c>
      <c r="D23" s="102">
        <f>SUM(D19:D22)</f>
        <v>473</v>
      </c>
      <c r="E23" s="116">
        <f>SUM(E19:E22)</f>
        <v>479</v>
      </c>
      <c r="F23" s="119">
        <f>SUM(F19:F22)</f>
        <v>506.40999999999991</v>
      </c>
      <c r="G23" s="119">
        <f>SUM(G19:G22)</f>
        <v>534.99624999999992</v>
      </c>
      <c r="H23" s="119">
        <f t="shared" ref="H23:J23" si="8">SUM(H19:H22)</f>
        <v>548.84432024999978</v>
      </c>
      <c r="I23" s="119">
        <f>SUM(I19:I22)</f>
        <v>563.0465555362498</v>
      </c>
      <c r="J23" s="118">
        <f t="shared" si="8"/>
        <v>577.61196925025592</v>
      </c>
      <c r="K23" s="142"/>
      <c r="L23" s="146">
        <f>(G23-F23)/F23</f>
        <v>5.6448826050038529E-2</v>
      </c>
      <c r="M23" s="147">
        <f>(J23-H23)/H23</f>
        <v>5.2414952544562028E-2</v>
      </c>
      <c r="N23" s="251" t="s">
        <v>151</v>
      </c>
      <c r="O23" s="245" t="s">
        <v>151</v>
      </c>
    </row>
    <row r="24" spans="2:15" x14ac:dyDescent="0.2">
      <c r="B24" s="11" t="s">
        <v>97</v>
      </c>
      <c r="C24" s="96">
        <v>1</v>
      </c>
      <c r="D24" s="11">
        <v>0</v>
      </c>
      <c r="E24" s="96">
        <v>0</v>
      </c>
      <c r="F24" s="115">
        <f>$E$24</f>
        <v>0</v>
      </c>
      <c r="G24" s="115">
        <f t="shared" ref="G24:J28" si="9">$E$24</f>
        <v>0</v>
      </c>
      <c r="H24" s="115">
        <f t="shared" si="9"/>
        <v>0</v>
      </c>
      <c r="I24" s="115">
        <f t="shared" si="9"/>
        <v>0</v>
      </c>
      <c r="J24" s="115">
        <f t="shared" si="9"/>
        <v>0</v>
      </c>
      <c r="K24" s="12"/>
      <c r="L24" s="148">
        <f>L22</f>
        <v>0</v>
      </c>
      <c r="M24" s="128">
        <f t="shared" ref="M24:M30" si="10">M22</f>
        <v>0</v>
      </c>
      <c r="N24" s="254" t="s">
        <v>168</v>
      </c>
      <c r="O24" s="237" t="s">
        <v>168</v>
      </c>
    </row>
    <row r="25" spans="2:15" x14ac:dyDescent="0.2">
      <c r="B25" s="11" t="s">
        <v>113</v>
      </c>
      <c r="C25" s="96">
        <v>-144</v>
      </c>
      <c r="D25" s="11">
        <v>-16</v>
      </c>
      <c r="E25" s="96">
        <v>-12</v>
      </c>
      <c r="F25" s="113">
        <f>(E25)*(1+$L$25)</f>
        <v>-12.18</v>
      </c>
      <c r="G25" s="113">
        <f>(F25)*(1+$L$25)</f>
        <v>-12.362699999999998</v>
      </c>
      <c r="H25" s="113">
        <f t="shared" ref="H25:I25" si="11">(G25)*(1+$L$25)</f>
        <v>-12.548140499999997</v>
      </c>
      <c r="I25" s="113">
        <f t="shared" si="11"/>
        <v>-12.736362607499995</v>
      </c>
      <c r="J25" s="113">
        <f>(I25)*(1+$L$25)</f>
        <v>-12.927408046612493</v>
      </c>
      <c r="K25" s="12"/>
      <c r="L25" s="170">
        <v>1.4999999999999999E-2</v>
      </c>
      <c r="M25" s="171">
        <f>L25</f>
        <v>1.4999999999999999E-2</v>
      </c>
      <c r="N25" s="250" t="s">
        <v>167</v>
      </c>
      <c r="O25" s="239" t="s">
        <v>167</v>
      </c>
    </row>
    <row r="26" spans="2:15" x14ac:dyDescent="0.2">
      <c r="B26" s="11" t="s">
        <v>125</v>
      </c>
      <c r="C26" s="96">
        <v>-848</v>
      </c>
      <c r="D26" s="11">
        <v>-625</v>
      </c>
      <c r="E26" s="96">
        <v>107</v>
      </c>
      <c r="F26" s="113">
        <f>E26*(1+$L$26)</f>
        <v>109.14</v>
      </c>
      <c r="G26" s="113">
        <f t="shared" ref="G26:I26" si="12">F26*(1+$L$26)</f>
        <v>111.3228</v>
      </c>
      <c r="H26" s="113">
        <f t="shared" si="12"/>
        <v>113.549256</v>
      </c>
      <c r="I26" s="113">
        <f t="shared" si="12"/>
        <v>115.82024112000001</v>
      </c>
      <c r="J26" s="113">
        <f>I26*(1+$L$26)</f>
        <v>118.13664594240001</v>
      </c>
      <c r="K26" s="12"/>
      <c r="L26" s="135">
        <v>0.02</v>
      </c>
      <c r="M26" s="130">
        <f>L26</f>
        <v>0.02</v>
      </c>
      <c r="N26" s="250" t="s">
        <v>162</v>
      </c>
      <c r="O26" s="239" t="s">
        <v>162</v>
      </c>
    </row>
    <row r="27" spans="2:15" x14ac:dyDescent="0.2">
      <c r="B27" s="11" t="s">
        <v>98</v>
      </c>
      <c r="C27" s="96">
        <v>-9</v>
      </c>
      <c r="D27" s="11">
        <v>-18</v>
      </c>
      <c r="E27" s="96">
        <v>1</v>
      </c>
      <c r="F27" s="113">
        <f>E27*(1+$L$27)</f>
        <v>1.0149999999999999</v>
      </c>
      <c r="G27" s="113">
        <f t="shared" ref="G27:I27" si="13">F27*(1+$L$27)</f>
        <v>1.0302249999999997</v>
      </c>
      <c r="H27" s="113">
        <f t="shared" si="13"/>
        <v>1.0456783749999996</v>
      </c>
      <c r="I27" s="113">
        <f t="shared" si="13"/>
        <v>1.0613635506249994</v>
      </c>
      <c r="J27" s="113">
        <f>I27*(1+$L$27)</f>
        <v>1.0772840038843743</v>
      </c>
      <c r="K27" s="12"/>
      <c r="L27" s="135">
        <f t="shared" ref="L27" si="14">L25</f>
        <v>1.4999999999999999E-2</v>
      </c>
      <c r="M27" s="128">
        <f t="shared" si="10"/>
        <v>1.4999999999999999E-2</v>
      </c>
      <c r="N27" s="250" t="s">
        <v>163</v>
      </c>
      <c r="O27" s="239" t="s">
        <v>163</v>
      </c>
    </row>
    <row r="28" spans="2:15" x14ac:dyDescent="0.2">
      <c r="B28" s="11" t="s">
        <v>99</v>
      </c>
      <c r="C28" s="96">
        <v>0</v>
      </c>
      <c r="D28" s="11">
        <v>3</v>
      </c>
      <c r="E28" s="96">
        <v>0</v>
      </c>
      <c r="F28" s="115">
        <f t="shared" ref="F28" si="15">$E$24</f>
        <v>0</v>
      </c>
      <c r="G28" s="115">
        <f t="shared" si="9"/>
        <v>0</v>
      </c>
      <c r="H28" s="115">
        <f t="shared" si="9"/>
        <v>0</v>
      </c>
      <c r="I28" s="115">
        <f t="shared" si="9"/>
        <v>0</v>
      </c>
      <c r="J28" s="115">
        <f t="shared" si="9"/>
        <v>0</v>
      </c>
      <c r="K28" s="12"/>
      <c r="L28" s="135">
        <v>0</v>
      </c>
      <c r="M28" s="128">
        <f>L28</f>
        <v>0</v>
      </c>
      <c r="N28" s="250" t="s">
        <v>169</v>
      </c>
      <c r="O28" s="239" t="s">
        <v>169</v>
      </c>
    </row>
    <row r="29" spans="2:15" x14ac:dyDescent="0.2">
      <c r="B29" s="11" t="s">
        <v>126</v>
      </c>
      <c r="C29" s="115">
        <v>0</v>
      </c>
      <c r="D29" s="11">
        <v>-2</v>
      </c>
      <c r="E29" s="115">
        <v>1</v>
      </c>
      <c r="F29" s="115">
        <f>E29</f>
        <v>1</v>
      </c>
      <c r="G29" s="115">
        <f t="shared" ref="G29:J29" si="16">F29</f>
        <v>1</v>
      </c>
      <c r="H29" s="115">
        <f t="shared" si="16"/>
        <v>1</v>
      </c>
      <c r="I29" s="115">
        <f t="shared" si="16"/>
        <v>1</v>
      </c>
      <c r="J29" s="115">
        <f t="shared" si="16"/>
        <v>1</v>
      </c>
      <c r="K29" s="12"/>
      <c r="L29" s="135">
        <f>M29</f>
        <v>0</v>
      </c>
      <c r="M29" s="128">
        <v>0</v>
      </c>
      <c r="N29" s="250" t="s">
        <v>170</v>
      </c>
      <c r="O29" s="239" t="s">
        <v>170</v>
      </c>
    </row>
    <row r="30" spans="2:15" x14ac:dyDescent="0.2">
      <c r="B30" s="11" t="s">
        <v>101</v>
      </c>
      <c r="C30" s="115">
        <v>-5</v>
      </c>
      <c r="D30" s="11">
        <v>-1</v>
      </c>
      <c r="E30" s="115">
        <v>-22</v>
      </c>
      <c r="F30" s="115">
        <f>E30</f>
        <v>-22</v>
      </c>
      <c r="G30" s="115">
        <f t="shared" ref="G30:J30" si="17">F30</f>
        <v>-22</v>
      </c>
      <c r="H30" s="115">
        <f t="shared" si="17"/>
        <v>-22</v>
      </c>
      <c r="I30" s="115">
        <f t="shared" si="17"/>
        <v>-22</v>
      </c>
      <c r="J30" s="115">
        <f t="shared" si="17"/>
        <v>-22</v>
      </c>
      <c r="K30" s="12"/>
      <c r="L30" s="135">
        <f t="shared" ref="L30" si="18">L28</f>
        <v>0</v>
      </c>
      <c r="M30" s="128">
        <f t="shared" si="10"/>
        <v>0</v>
      </c>
      <c r="N30" s="250" t="s">
        <v>171</v>
      </c>
      <c r="O30" s="239" t="s">
        <v>171</v>
      </c>
    </row>
    <row r="31" spans="2:15" x14ac:dyDescent="0.2">
      <c r="B31" s="11" t="s">
        <v>102</v>
      </c>
      <c r="C31" s="115">
        <v>-19</v>
      </c>
      <c r="D31" s="11">
        <v>-11</v>
      </c>
      <c r="E31" s="115">
        <v>-4</v>
      </c>
      <c r="F31" s="113">
        <f>E31*(1+$L$31)</f>
        <v>-4.0999999999999996</v>
      </c>
      <c r="G31" s="113">
        <f t="shared" ref="G31:I31" si="19">F31*(1+$L$31)</f>
        <v>-4.2024999999999997</v>
      </c>
      <c r="H31" s="113">
        <f t="shared" si="19"/>
        <v>-4.3075624999999995</v>
      </c>
      <c r="I31" s="113">
        <f t="shared" si="19"/>
        <v>-4.4152515624999991</v>
      </c>
      <c r="J31" s="113">
        <f>I31*(1+$L$31)</f>
        <v>-4.5256328515624986</v>
      </c>
      <c r="K31" s="12"/>
      <c r="L31" s="170">
        <v>2.5000000000000001E-2</v>
      </c>
      <c r="M31" s="172">
        <f>L31</f>
        <v>2.5000000000000001E-2</v>
      </c>
      <c r="N31" s="250" t="s">
        <v>164</v>
      </c>
      <c r="O31" s="239" t="s">
        <v>164</v>
      </c>
    </row>
    <row r="32" spans="2:15" x14ac:dyDescent="0.2">
      <c r="B32" s="11" t="s">
        <v>103</v>
      </c>
      <c r="C32" s="115">
        <v>-3</v>
      </c>
      <c r="D32" s="11">
        <v>-2</v>
      </c>
      <c r="E32" s="115">
        <v>-1</v>
      </c>
      <c r="F32" s="113">
        <f>E32*(1+$L$32)</f>
        <v>-1.02</v>
      </c>
      <c r="G32" s="113">
        <f t="shared" ref="G32:I32" si="20">F32*(1+$L$32)</f>
        <v>-1.0404</v>
      </c>
      <c r="H32" s="113">
        <f t="shared" si="20"/>
        <v>-1.0612079999999999</v>
      </c>
      <c r="I32" s="113">
        <f t="shared" si="20"/>
        <v>-1.08243216</v>
      </c>
      <c r="J32" s="113">
        <f>I32*(1+$L$32)</f>
        <v>-1.1040808032</v>
      </c>
      <c r="K32" s="12"/>
      <c r="L32" s="135">
        <v>0.02</v>
      </c>
      <c r="M32" s="128">
        <v>0.02</v>
      </c>
      <c r="N32" s="250" t="str">
        <f>N13</f>
        <v>Aligned with projected CPI inflation</v>
      </c>
      <c r="O32" s="239" t="str">
        <f>N32</f>
        <v>Aligned with projected CPI inflation</v>
      </c>
    </row>
    <row r="33" spans="2:15" ht="17" thickBot="1" x14ac:dyDescent="0.25">
      <c r="B33" s="11" t="s">
        <v>104</v>
      </c>
      <c r="C33" s="115">
        <v>-6</v>
      </c>
      <c r="D33" s="11">
        <v>-1</v>
      </c>
      <c r="E33" s="115">
        <v>-13</v>
      </c>
      <c r="F33" s="115">
        <f>E33</f>
        <v>-13</v>
      </c>
      <c r="G33" s="115">
        <f t="shared" ref="G33:J33" si="21">F33</f>
        <v>-13</v>
      </c>
      <c r="H33" s="115">
        <f t="shared" si="21"/>
        <v>-13</v>
      </c>
      <c r="I33" s="115">
        <f t="shared" si="21"/>
        <v>-13</v>
      </c>
      <c r="J33" s="115">
        <f t="shared" si="21"/>
        <v>-13</v>
      </c>
      <c r="K33" s="12"/>
      <c r="L33" s="135">
        <v>0</v>
      </c>
      <c r="M33" s="128">
        <v>0</v>
      </c>
      <c r="N33" s="255" t="s">
        <v>172</v>
      </c>
      <c r="O33" s="238" t="s">
        <v>172</v>
      </c>
    </row>
    <row r="34" spans="2:15" ht="17" thickBot="1" x14ac:dyDescent="0.25">
      <c r="B34" s="102" t="s">
        <v>105</v>
      </c>
      <c r="C34" s="116">
        <f>SUM(C23:C33)</f>
        <v>-556</v>
      </c>
      <c r="D34" s="102">
        <f>SUM(D23:D33)</f>
        <v>-200</v>
      </c>
      <c r="E34" s="116">
        <f>SUM(E23:E33)</f>
        <v>536</v>
      </c>
      <c r="F34" s="118">
        <f>SUM(F23:F33)</f>
        <v>565.26499999999987</v>
      </c>
      <c r="G34" s="118">
        <f>SUM(G23:G33)</f>
        <v>595.74367499999994</v>
      </c>
      <c r="H34" s="118">
        <f t="shared" ref="H34:J34" si="22">SUM(H23:H33)</f>
        <v>611.52234362499973</v>
      </c>
      <c r="I34" s="118">
        <f t="shared" si="22"/>
        <v>627.69411387687467</v>
      </c>
      <c r="J34" s="118">
        <f t="shared" si="22"/>
        <v>644.26877749516541</v>
      </c>
      <c r="K34" s="157"/>
      <c r="L34" s="149">
        <f>(G34-F34)/F34</f>
        <v>5.3919267953968619E-2</v>
      </c>
      <c r="M34" s="150">
        <f>(J34-H34)/H34</f>
        <v>5.354903906871239E-2</v>
      </c>
      <c r="N34" s="235" t="s">
        <v>151</v>
      </c>
      <c r="O34" s="245" t="s">
        <v>151</v>
      </c>
    </row>
    <row r="35" spans="2:15" x14ac:dyDescent="0.2">
      <c r="B35" s="11" t="s">
        <v>106</v>
      </c>
      <c r="C35" s="96">
        <v>35</v>
      </c>
      <c r="D35" s="11">
        <v>12</v>
      </c>
      <c r="E35" s="96">
        <v>15</v>
      </c>
      <c r="F35" s="115">
        <f>E35</f>
        <v>15</v>
      </c>
      <c r="G35" s="115">
        <f t="shared" ref="G35:J35" si="23">F35</f>
        <v>15</v>
      </c>
      <c r="H35" s="115">
        <f t="shared" si="23"/>
        <v>15</v>
      </c>
      <c r="I35" s="115">
        <f>H35</f>
        <v>15</v>
      </c>
      <c r="J35" s="115">
        <f t="shared" si="23"/>
        <v>15</v>
      </c>
      <c r="K35" s="12"/>
      <c r="L35" s="151">
        <v>0</v>
      </c>
      <c r="M35" s="137">
        <v>0</v>
      </c>
      <c r="N35" s="253" t="s">
        <v>165</v>
      </c>
      <c r="O35" s="241" t="s">
        <v>165</v>
      </c>
    </row>
    <row r="36" spans="2:15" x14ac:dyDescent="0.2">
      <c r="B36" s="11" t="s">
        <v>107</v>
      </c>
      <c r="C36" s="115">
        <v>-98</v>
      </c>
      <c r="D36" s="11">
        <v>-131</v>
      </c>
      <c r="E36" s="115">
        <v>-158</v>
      </c>
      <c r="F36" s="109">
        <f>E36*(1+$L$36)</f>
        <v>-160.36999999999998</v>
      </c>
      <c r="G36" s="109">
        <f>F36*(1+$L$36)</f>
        <v>-162.77554999999995</v>
      </c>
      <c r="H36" s="109">
        <f>G36*(1+$M$36)</f>
        <v>-165.21718324999995</v>
      </c>
      <c r="I36" s="109">
        <f t="shared" ref="I36:J36" si="24">H36*(1+$M$36)</f>
        <v>-167.69544099874994</v>
      </c>
      <c r="J36" s="161">
        <f t="shared" si="24"/>
        <v>-170.21087261373117</v>
      </c>
      <c r="K36" s="162"/>
      <c r="L36" s="163">
        <v>1.4999999999999999E-2</v>
      </c>
      <c r="M36" s="155">
        <f>L36</f>
        <v>1.4999999999999999E-2</v>
      </c>
      <c r="N36" s="247" t="s">
        <v>166</v>
      </c>
      <c r="O36" s="257" t="s">
        <v>166</v>
      </c>
    </row>
    <row r="37" spans="2:15" x14ac:dyDescent="0.2">
      <c r="B37" s="106" t="s">
        <v>108</v>
      </c>
      <c r="C37" s="117">
        <f>SUM(C34:C36)</f>
        <v>-619</v>
      </c>
      <c r="D37" s="106">
        <f>SUM(D34:D36)</f>
        <v>-319</v>
      </c>
      <c r="E37" s="117">
        <f>E34+E35+E36</f>
        <v>393</v>
      </c>
      <c r="F37" s="117">
        <f>SUM(F34:F36)</f>
        <v>419.89499999999987</v>
      </c>
      <c r="G37" s="117">
        <f>SUM(G34:G36)</f>
        <v>447.96812499999999</v>
      </c>
      <c r="H37" s="117">
        <f t="shared" ref="H37" si="25">SUM(H34:H36)</f>
        <v>461.30516037499979</v>
      </c>
      <c r="I37" s="117">
        <f>SUM(I34:I36)</f>
        <v>474.99867287812469</v>
      </c>
      <c r="J37" s="158">
        <f>SUM(J34:J36)</f>
        <v>489.05790488143424</v>
      </c>
      <c r="K37" s="12"/>
      <c r="L37" s="159">
        <f>(G37-F37)/F37</f>
        <v>6.6857488181569502E-2</v>
      </c>
      <c r="M37" s="160">
        <f>(J37-H37)/H37</f>
        <v>6.0161357145612583E-2</v>
      </c>
      <c r="N37" s="248" t="s">
        <v>151</v>
      </c>
      <c r="O37" s="258" t="s">
        <v>151</v>
      </c>
    </row>
    <row r="38" spans="2:15" ht="17" thickBot="1" x14ac:dyDescent="0.25">
      <c r="B38" s="11" t="s">
        <v>111</v>
      </c>
      <c r="C38" s="115">
        <v>0</v>
      </c>
      <c r="D38" s="11">
        <v>0</v>
      </c>
      <c r="E38" s="115">
        <v>3</v>
      </c>
      <c r="F38" s="11">
        <f>D38</f>
        <v>0</v>
      </c>
      <c r="G38" s="11">
        <f>F38</f>
        <v>0</v>
      </c>
      <c r="H38" s="11">
        <f t="shared" ref="H38:J38" si="26">F38</f>
        <v>0</v>
      </c>
      <c r="I38" s="11">
        <f t="shared" si="26"/>
        <v>0</v>
      </c>
      <c r="J38" s="11">
        <f t="shared" si="26"/>
        <v>0</v>
      </c>
      <c r="K38" s="12"/>
      <c r="L38" s="137">
        <v>0</v>
      </c>
      <c r="M38" s="151">
        <f>L38</f>
        <v>0</v>
      </c>
      <c r="N38" s="253" t="s">
        <v>173</v>
      </c>
      <c r="O38" s="242" t="s">
        <v>173</v>
      </c>
    </row>
    <row r="39" spans="2:15" ht="17" thickBot="1" x14ac:dyDescent="0.25">
      <c r="B39" s="102" t="s">
        <v>109</v>
      </c>
      <c r="C39" s="118">
        <f>C37</f>
        <v>-619</v>
      </c>
      <c r="D39" s="102">
        <f>SUM(D37:D38)</f>
        <v>-319</v>
      </c>
      <c r="E39" s="118">
        <f>E38+E37</f>
        <v>396</v>
      </c>
      <c r="F39" s="118">
        <f>SUM(F37:F38)</f>
        <v>419.89499999999987</v>
      </c>
      <c r="G39" s="118">
        <f t="shared" ref="G39:I39" si="27">SUM(G37:G38)</f>
        <v>447.96812499999999</v>
      </c>
      <c r="H39" s="118">
        <f>SUM(H37:H38)</f>
        <v>461.30516037499979</v>
      </c>
      <c r="I39" s="118">
        <f t="shared" si="27"/>
        <v>474.99867287812469</v>
      </c>
      <c r="J39" s="118">
        <f>SUM(J37:J38)</f>
        <v>489.05790488143424</v>
      </c>
      <c r="K39" s="157"/>
      <c r="L39" s="164">
        <f>(G39-F39)/F39</f>
        <v>6.6857488181569502E-2</v>
      </c>
      <c r="M39" s="165">
        <f>(J39-H39)/H39</f>
        <v>6.0161357145612583E-2</v>
      </c>
      <c r="N39" s="235" t="s">
        <v>151</v>
      </c>
      <c r="O39" s="245" t="s">
        <v>151</v>
      </c>
    </row>
    <row r="40" spans="2:15" x14ac:dyDescent="0.2">
      <c r="B40" s="11" t="s">
        <v>116</v>
      </c>
      <c r="C40" s="113">
        <f>C39/C58*100</f>
        <v>-83.648648648648646</v>
      </c>
      <c r="D40" s="109">
        <f>D39/D58*100</f>
        <v>-43.049932523616732</v>
      </c>
      <c r="E40" s="112">
        <f>E39/E58*100</f>
        <v>53.297442799461649</v>
      </c>
      <c r="F40" s="109">
        <f>F39/$F$58*100</f>
        <v>56.361744966442942</v>
      </c>
      <c r="G40" s="109">
        <f>G39/$F$58*100</f>
        <v>60.129949664429525</v>
      </c>
      <c r="H40" s="109">
        <f>H39/$F$58*100</f>
        <v>61.920155755033527</v>
      </c>
      <c r="I40" s="109">
        <f>I39/$F$58*100</f>
        <v>63.758211124580498</v>
      </c>
      <c r="J40" s="109">
        <f>J39/$F$58*100</f>
        <v>65.645356359924051</v>
      </c>
      <c r="K40" s="13"/>
      <c r="L40" s="169">
        <f>(G40-F40)/F40</f>
        <v>6.6857488181569322E-2</v>
      </c>
      <c r="M40" s="168">
        <f>(J40-H40)/H40</f>
        <v>6.0161357145612486E-2</v>
      </c>
      <c r="N40" s="241" t="s">
        <v>151</v>
      </c>
      <c r="O40" s="240" t="s">
        <v>151</v>
      </c>
    </row>
    <row r="41" spans="2:15" x14ac:dyDescent="0.2">
      <c r="B41" s="108" t="s">
        <v>117</v>
      </c>
      <c r="C41" s="113">
        <f>C40</f>
        <v>-83.648648648648646</v>
      </c>
      <c r="D41" s="109">
        <f>D39/D58*100</f>
        <v>-43.049932523616732</v>
      </c>
      <c r="E41" s="109">
        <f>E39/E59*100</f>
        <v>53.01204819277109</v>
      </c>
      <c r="F41" s="109">
        <f>F39/$F$59*100</f>
        <v>56.210843373493958</v>
      </c>
      <c r="G41" s="109">
        <f>G39/$F$59*100</f>
        <v>59.968959170013378</v>
      </c>
      <c r="H41" s="109">
        <f>H39/$F$59*100</f>
        <v>61.754372205488593</v>
      </c>
      <c r="I41" s="109">
        <f>I39/$F$59*100</f>
        <v>63.587506409387508</v>
      </c>
      <c r="J41" s="109">
        <f>J39/$F$59*100</f>
        <v>65.469599047046074</v>
      </c>
      <c r="K41" s="12"/>
      <c r="L41" s="167">
        <f>(G41-F41)/F41</f>
        <v>6.6857488181569377E-2</v>
      </c>
      <c r="M41" s="167">
        <f>(J41-H41)/H41</f>
        <v>6.016135714561243E-2</v>
      </c>
      <c r="N41" s="237" t="s">
        <v>151</v>
      </c>
      <c r="O41" s="231" t="s">
        <v>151</v>
      </c>
    </row>
    <row r="42" spans="2:15" x14ac:dyDescent="0.2">
      <c r="B42" s="11"/>
      <c r="C42" s="11"/>
      <c r="D42" s="11"/>
      <c r="E42" s="115"/>
      <c r="F42" s="11"/>
      <c r="G42" s="11"/>
      <c r="H42" s="11"/>
      <c r="I42" s="11"/>
      <c r="J42" s="11"/>
      <c r="K42" s="11"/>
      <c r="L42" s="12"/>
      <c r="M42" s="11"/>
      <c r="N42" s="12"/>
      <c r="O42" s="12"/>
    </row>
    <row r="43" spans="2:15" ht="17" thickBot="1" x14ac:dyDescent="0.25">
      <c r="B43" s="23" t="s">
        <v>118</v>
      </c>
      <c r="C43" s="23"/>
      <c r="D43" s="23"/>
      <c r="E43" s="120"/>
      <c r="F43" s="23"/>
      <c r="G43" s="23"/>
      <c r="H43" s="23"/>
      <c r="I43" s="23"/>
      <c r="J43" s="23"/>
      <c r="K43" s="23"/>
      <c r="L43" s="23"/>
      <c r="M43" s="23"/>
      <c r="N43" s="23"/>
      <c r="O43" s="32"/>
    </row>
    <row r="44" spans="2:15" ht="17" thickBot="1" x14ac:dyDescent="0.25">
      <c r="B44" s="102" t="s">
        <v>120</v>
      </c>
      <c r="C44" s="118">
        <f>C39</f>
        <v>-619</v>
      </c>
      <c r="D44" s="102">
        <f>D39</f>
        <v>-319</v>
      </c>
      <c r="E44" s="118">
        <f>E39</f>
        <v>396</v>
      </c>
      <c r="F44" s="118">
        <f>F39</f>
        <v>419.89499999999987</v>
      </c>
      <c r="G44" s="118">
        <f t="shared" ref="G44:J44" si="28">G39</f>
        <v>447.96812499999999</v>
      </c>
      <c r="H44" s="118">
        <f t="shared" si="28"/>
        <v>461.30516037499979</v>
      </c>
      <c r="I44" s="118">
        <f t="shared" si="28"/>
        <v>474.99867287812469</v>
      </c>
      <c r="J44" s="119">
        <f t="shared" si="28"/>
        <v>489.05790488143424</v>
      </c>
      <c r="K44" s="103"/>
      <c r="L44" s="173"/>
      <c r="M44" s="173"/>
      <c r="N44" s="95"/>
      <c r="O44" s="142"/>
    </row>
    <row r="45" spans="2:15" x14ac:dyDescent="0.2">
      <c r="B45" s="11" t="s">
        <v>119</v>
      </c>
      <c r="C45" s="11"/>
      <c r="D45" s="11"/>
      <c r="E45" s="11"/>
      <c r="F45" s="11"/>
      <c r="G45" s="11"/>
      <c r="H45" s="11"/>
      <c r="I45" s="11"/>
      <c r="J45" s="11"/>
      <c r="K45" s="11"/>
      <c r="L45" s="76"/>
      <c r="M45" s="76"/>
      <c r="N45" s="11"/>
      <c r="O45" s="12"/>
    </row>
    <row r="46" spans="2:15" x14ac:dyDescent="0.2">
      <c r="B46" s="11" t="str">
        <f>B25</f>
        <v>Loss on disposal of investment properties</v>
      </c>
      <c r="C46" s="115">
        <f t="shared" ref="C46:E48" si="29">-C25</f>
        <v>144</v>
      </c>
      <c r="D46" s="11">
        <f t="shared" si="29"/>
        <v>16</v>
      </c>
      <c r="E46" s="115">
        <f t="shared" si="29"/>
        <v>12</v>
      </c>
      <c r="F46" s="113">
        <f t="shared" ref="F46:J48" si="30">-F25</f>
        <v>12.18</v>
      </c>
      <c r="G46" s="113">
        <f t="shared" si="30"/>
        <v>12.362699999999998</v>
      </c>
      <c r="H46" s="113">
        <f t="shared" si="30"/>
        <v>12.548140499999997</v>
      </c>
      <c r="I46" s="113">
        <f t="shared" si="30"/>
        <v>12.736362607499995</v>
      </c>
      <c r="J46" s="113">
        <f t="shared" si="30"/>
        <v>12.927408046612493</v>
      </c>
      <c r="K46" s="11"/>
      <c r="L46" s="76"/>
      <c r="M46" s="76"/>
      <c r="N46" s="11"/>
      <c r="O46" s="12"/>
    </row>
    <row r="47" spans="2:15" x14ac:dyDescent="0.2">
      <c r="B47" s="11" t="str">
        <f>B26</f>
        <v>Net surplus (deficit) on revaluation of investment properties</v>
      </c>
      <c r="C47" s="115">
        <f t="shared" si="29"/>
        <v>848</v>
      </c>
      <c r="D47" s="11">
        <f t="shared" si="29"/>
        <v>625</v>
      </c>
      <c r="E47" s="115">
        <f t="shared" si="29"/>
        <v>-107</v>
      </c>
      <c r="F47" s="113">
        <f t="shared" si="30"/>
        <v>-109.14</v>
      </c>
      <c r="G47" s="113">
        <f t="shared" si="30"/>
        <v>-111.3228</v>
      </c>
      <c r="H47" s="113">
        <f t="shared" si="30"/>
        <v>-113.549256</v>
      </c>
      <c r="I47" s="113">
        <f t="shared" si="30"/>
        <v>-115.82024112000001</v>
      </c>
      <c r="J47" s="113">
        <f t="shared" si="30"/>
        <v>-118.13664594240001</v>
      </c>
      <c r="K47" s="11"/>
      <c r="L47" s="76"/>
      <c r="M47" s="76"/>
      <c r="N47" s="11"/>
      <c r="O47" s="12"/>
    </row>
    <row r="48" spans="2:15" x14ac:dyDescent="0.2">
      <c r="B48" s="11" t="str">
        <f>B27</f>
        <v>Net development contract and transaction expenditure</v>
      </c>
      <c r="C48" s="115">
        <f t="shared" si="29"/>
        <v>9</v>
      </c>
      <c r="D48" s="11">
        <f t="shared" si="29"/>
        <v>18</v>
      </c>
      <c r="E48" s="115">
        <f t="shared" si="29"/>
        <v>-1</v>
      </c>
      <c r="F48" s="113">
        <f t="shared" si="30"/>
        <v>-1.0149999999999999</v>
      </c>
      <c r="G48" s="113">
        <f t="shared" si="30"/>
        <v>-1.0302249999999997</v>
      </c>
      <c r="H48" s="113">
        <f t="shared" si="30"/>
        <v>-1.0456783749999996</v>
      </c>
      <c r="I48" s="113">
        <f t="shared" si="30"/>
        <v>-1.0613635506249994</v>
      </c>
      <c r="J48" s="113">
        <f t="shared" si="30"/>
        <v>-1.0772840038843743</v>
      </c>
      <c r="K48" s="11"/>
      <c r="L48" s="76"/>
      <c r="M48" s="76"/>
      <c r="N48" s="11"/>
      <c r="O48" s="12"/>
    </row>
    <row r="49" spans="2:15" x14ac:dyDescent="0.2">
      <c r="B49" s="11" t="s">
        <v>99</v>
      </c>
      <c r="C49" s="11">
        <v>0</v>
      </c>
      <c r="D49" s="11">
        <f t="shared" ref="D49:D54" si="31">-D28</f>
        <v>-3</v>
      </c>
      <c r="E49" s="11">
        <v>0</v>
      </c>
      <c r="F49" s="115">
        <f>F28</f>
        <v>0</v>
      </c>
      <c r="G49" s="115">
        <f t="shared" ref="G49:J49" si="32">G28</f>
        <v>0</v>
      </c>
      <c r="H49" s="115">
        <f t="shared" si="32"/>
        <v>0</v>
      </c>
      <c r="I49" s="115">
        <f t="shared" si="32"/>
        <v>0</v>
      </c>
      <c r="J49" s="115">
        <f t="shared" si="32"/>
        <v>0</v>
      </c>
      <c r="K49" s="11"/>
      <c r="L49" s="76"/>
      <c r="M49" s="76"/>
      <c r="N49" s="11"/>
      <c r="O49" s="12"/>
    </row>
    <row r="50" spans="2:15" x14ac:dyDescent="0.2">
      <c r="B50" s="11" t="s">
        <v>100</v>
      </c>
      <c r="C50" s="11">
        <v>0</v>
      </c>
      <c r="D50" s="11">
        <f t="shared" si="31"/>
        <v>2</v>
      </c>
      <c r="E50" s="115">
        <f t="shared" ref="E50:J53" si="33">-E29</f>
        <v>-1</v>
      </c>
      <c r="F50" s="115">
        <f t="shared" si="33"/>
        <v>-1</v>
      </c>
      <c r="G50" s="115">
        <f t="shared" si="33"/>
        <v>-1</v>
      </c>
      <c r="H50" s="115">
        <f t="shared" si="33"/>
        <v>-1</v>
      </c>
      <c r="I50" s="115">
        <f t="shared" si="33"/>
        <v>-1</v>
      </c>
      <c r="J50" s="115">
        <f t="shared" si="33"/>
        <v>-1</v>
      </c>
      <c r="K50" s="11"/>
      <c r="L50" s="76"/>
      <c r="M50" s="76"/>
      <c r="N50" s="11"/>
      <c r="O50" s="12"/>
    </row>
    <row r="51" spans="2:15" x14ac:dyDescent="0.2">
      <c r="B51" s="11" t="s">
        <v>101</v>
      </c>
      <c r="C51" s="115">
        <f>-C30</f>
        <v>5</v>
      </c>
      <c r="D51" s="11">
        <f t="shared" si="31"/>
        <v>1</v>
      </c>
      <c r="E51" s="115">
        <f t="shared" si="33"/>
        <v>22</v>
      </c>
      <c r="F51" s="115">
        <f t="shared" si="33"/>
        <v>22</v>
      </c>
      <c r="G51" s="115">
        <f t="shared" si="33"/>
        <v>22</v>
      </c>
      <c r="H51" s="115">
        <f t="shared" si="33"/>
        <v>22</v>
      </c>
      <c r="I51" s="115">
        <f t="shared" si="33"/>
        <v>22</v>
      </c>
      <c r="J51" s="115">
        <f t="shared" si="33"/>
        <v>22</v>
      </c>
      <c r="K51" s="11"/>
      <c r="L51" s="76"/>
      <c r="M51" s="76"/>
      <c r="N51" s="11"/>
      <c r="O51" s="12"/>
    </row>
    <row r="52" spans="2:15" x14ac:dyDescent="0.2">
      <c r="B52" s="11" t="s">
        <v>102</v>
      </c>
      <c r="C52" s="115">
        <f>-C31</f>
        <v>19</v>
      </c>
      <c r="D52" s="11">
        <f t="shared" si="31"/>
        <v>11</v>
      </c>
      <c r="E52" s="115">
        <f t="shared" si="33"/>
        <v>4</v>
      </c>
      <c r="F52" s="113">
        <f t="shared" si="33"/>
        <v>4.0999999999999996</v>
      </c>
      <c r="G52" s="113">
        <f t="shared" si="33"/>
        <v>4.2024999999999997</v>
      </c>
      <c r="H52" s="113">
        <f t="shared" si="33"/>
        <v>4.3075624999999995</v>
      </c>
      <c r="I52" s="113">
        <f t="shared" si="33"/>
        <v>4.4152515624999991</v>
      </c>
      <c r="J52" s="113">
        <f t="shared" si="33"/>
        <v>4.5256328515624986</v>
      </c>
      <c r="K52" s="11"/>
      <c r="L52" s="76"/>
      <c r="M52" s="76"/>
      <c r="N52" s="11"/>
      <c r="O52" s="12"/>
    </row>
    <row r="53" spans="2:15" x14ac:dyDescent="0.2">
      <c r="B53" s="11" t="s">
        <v>103</v>
      </c>
      <c r="C53" s="115">
        <f>-C32</f>
        <v>3</v>
      </c>
      <c r="D53" s="11">
        <f t="shared" si="31"/>
        <v>2</v>
      </c>
      <c r="E53" s="115">
        <f t="shared" si="33"/>
        <v>1</v>
      </c>
      <c r="F53" s="113">
        <f t="shared" si="33"/>
        <v>1.02</v>
      </c>
      <c r="G53" s="113">
        <f t="shared" si="33"/>
        <v>1.0404</v>
      </c>
      <c r="H53" s="113">
        <f t="shared" si="33"/>
        <v>1.0612079999999999</v>
      </c>
      <c r="I53" s="113">
        <f t="shared" si="33"/>
        <v>1.08243216</v>
      </c>
      <c r="J53" s="113">
        <f t="shared" si="33"/>
        <v>1.1040808032</v>
      </c>
      <c r="K53" s="11"/>
      <c r="L53" s="76"/>
      <c r="M53" s="76"/>
      <c r="N53" s="11"/>
      <c r="O53" s="12"/>
    </row>
    <row r="54" spans="2:15" x14ac:dyDescent="0.2">
      <c r="B54" s="11" t="s">
        <v>104</v>
      </c>
      <c r="C54" s="115">
        <f>-C33</f>
        <v>6</v>
      </c>
      <c r="D54" s="11">
        <f t="shared" si="31"/>
        <v>1</v>
      </c>
      <c r="E54" s="115">
        <f>-E33</f>
        <v>13</v>
      </c>
      <c r="F54" s="115">
        <f>-F33</f>
        <v>13</v>
      </c>
      <c r="G54" s="115">
        <f t="shared" ref="G54:J54" si="34">-G33</f>
        <v>13</v>
      </c>
      <c r="H54" s="115">
        <f t="shared" si="34"/>
        <v>13</v>
      </c>
      <c r="I54" s="115">
        <f t="shared" si="34"/>
        <v>13</v>
      </c>
      <c r="J54" s="115">
        <f t="shared" si="34"/>
        <v>13</v>
      </c>
      <c r="K54" s="11"/>
      <c r="L54" s="76"/>
      <c r="M54" s="76"/>
      <c r="N54" s="11"/>
      <c r="O54" s="12"/>
    </row>
    <row r="55" spans="2:15" x14ac:dyDescent="0.2">
      <c r="B55" s="11" t="s">
        <v>121</v>
      </c>
      <c r="C55" s="11">
        <v>-21</v>
      </c>
      <c r="D55" s="11">
        <v>17</v>
      </c>
      <c r="E55" s="11">
        <f>35</f>
        <v>35</v>
      </c>
      <c r="F55" s="113">
        <f>AVERAGE($C$55:$E$55)</f>
        <v>10.333333333333334</v>
      </c>
      <c r="G55" s="113">
        <f t="shared" ref="G55:J55" si="35">AVERAGE($C$55:$E$55)</f>
        <v>10.333333333333334</v>
      </c>
      <c r="H55" s="113">
        <f t="shared" si="35"/>
        <v>10.333333333333334</v>
      </c>
      <c r="I55" s="113">
        <f t="shared" si="35"/>
        <v>10.333333333333334</v>
      </c>
      <c r="J55" s="113">
        <f t="shared" si="35"/>
        <v>10.333333333333334</v>
      </c>
      <c r="K55" s="11"/>
      <c r="L55" s="76"/>
      <c r="M55" s="76"/>
      <c r="N55" s="11"/>
      <c r="O55" s="12"/>
    </row>
    <row r="56" spans="2:15" ht="17" thickBot="1" x14ac:dyDescent="0.25">
      <c r="B56" s="11" t="s">
        <v>123</v>
      </c>
      <c r="C56" s="115">
        <f>-C24</f>
        <v>-1</v>
      </c>
      <c r="D56" s="11">
        <v>0</v>
      </c>
      <c r="E56" s="11">
        <v>0</v>
      </c>
      <c r="F56" s="115">
        <f>F24</f>
        <v>0</v>
      </c>
      <c r="G56" s="115">
        <f t="shared" ref="G56:J56" si="36">G24</f>
        <v>0</v>
      </c>
      <c r="H56" s="115">
        <f t="shared" si="36"/>
        <v>0</v>
      </c>
      <c r="I56" s="115">
        <f t="shared" si="36"/>
        <v>0</v>
      </c>
      <c r="J56" s="115">
        <f t="shared" si="36"/>
        <v>0</v>
      </c>
      <c r="K56" s="11"/>
      <c r="L56" s="174"/>
      <c r="M56" s="76"/>
      <c r="N56" s="11"/>
      <c r="O56" s="12"/>
    </row>
    <row r="57" spans="2:15" ht="17" thickBot="1" x14ac:dyDescent="0.25">
      <c r="B57" s="105" t="s">
        <v>122</v>
      </c>
      <c r="C57" s="119">
        <f>SUM(C44:C56)</f>
        <v>393</v>
      </c>
      <c r="D57" s="105">
        <f>SUM(D44:D56)</f>
        <v>371</v>
      </c>
      <c r="E57" s="119">
        <f>SUM(E44:E56)</f>
        <v>374</v>
      </c>
      <c r="F57" s="119">
        <f>SUM(F44:F56)</f>
        <v>371.37333333333322</v>
      </c>
      <c r="G57" s="119">
        <f t="shared" ref="G57:I57" si="37">SUM(G44:G56)</f>
        <v>397.55403333333328</v>
      </c>
      <c r="H57" s="119">
        <f t="shared" si="37"/>
        <v>408.96047033333309</v>
      </c>
      <c r="I57" s="119">
        <f t="shared" si="37"/>
        <v>420.68444787083297</v>
      </c>
      <c r="J57" s="119">
        <f>SUM(J44:J56)</f>
        <v>432.73442996985813</v>
      </c>
      <c r="K57" s="103"/>
      <c r="L57" s="149">
        <f>(G57-F57)/F57</f>
        <v>7.0496984166876275E-2</v>
      </c>
      <c r="M57" s="150">
        <f>(J57-H57)/H57</f>
        <v>5.8132659171551464E-2</v>
      </c>
      <c r="N57" s="245" t="s">
        <v>151</v>
      </c>
      <c r="O57" s="236" t="s">
        <v>151</v>
      </c>
    </row>
    <row r="58" spans="2:15" x14ac:dyDescent="0.2">
      <c r="B58" s="11" t="s">
        <v>82</v>
      </c>
      <c r="C58" s="11">
        <v>740</v>
      </c>
      <c r="D58" s="11">
        <v>741</v>
      </c>
      <c r="E58" s="11">
        <v>743</v>
      </c>
      <c r="F58" s="11">
        <v>745</v>
      </c>
      <c r="G58" s="11">
        <v>745</v>
      </c>
      <c r="H58" s="11">
        <v>745</v>
      </c>
      <c r="I58" s="11">
        <v>745</v>
      </c>
      <c r="J58" s="11">
        <v>745</v>
      </c>
      <c r="K58" s="13"/>
      <c r="L58" s="179">
        <v>0</v>
      </c>
      <c r="M58" s="137">
        <f>L58</f>
        <v>0</v>
      </c>
      <c r="N58" s="238" t="s">
        <v>174</v>
      </c>
      <c r="O58" s="259" t="s">
        <v>174</v>
      </c>
    </row>
    <row r="59" spans="2:15" x14ac:dyDescent="0.2">
      <c r="B59" s="11" t="s">
        <v>124</v>
      </c>
      <c r="C59" s="11">
        <f>C58</f>
        <v>740</v>
      </c>
      <c r="D59" s="11">
        <f>D58</f>
        <v>741</v>
      </c>
      <c r="E59" s="11">
        <v>747</v>
      </c>
      <c r="F59" s="11">
        <f>E59</f>
        <v>747</v>
      </c>
      <c r="G59" s="11">
        <f t="shared" ref="G59:J59" si="38">F59</f>
        <v>747</v>
      </c>
      <c r="H59" s="11">
        <f t="shared" si="38"/>
        <v>747</v>
      </c>
      <c r="I59" s="11">
        <f t="shared" si="38"/>
        <v>747</v>
      </c>
      <c r="J59" s="11">
        <f t="shared" si="38"/>
        <v>747</v>
      </c>
      <c r="K59" s="12"/>
      <c r="L59" s="130">
        <f>L58</f>
        <v>0</v>
      </c>
      <c r="M59" s="130">
        <f>M58</f>
        <v>0</v>
      </c>
      <c r="N59" s="239" t="s">
        <v>175</v>
      </c>
      <c r="O59" s="239" t="s">
        <v>175</v>
      </c>
    </row>
    <row r="60" spans="2:15" x14ac:dyDescent="0.2">
      <c r="B60" s="11" t="s">
        <v>116</v>
      </c>
      <c r="C60" s="109">
        <f>C57/C58*100</f>
        <v>53.108108108108112</v>
      </c>
      <c r="D60" s="109">
        <f>D57/D58*100</f>
        <v>50.067476383265856</v>
      </c>
      <c r="E60" s="109">
        <f>E57/E58*100</f>
        <v>50.336473755047109</v>
      </c>
      <c r="F60" s="178">
        <f>F57/$F$58*100</f>
        <v>49.848769574944058</v>
      </c>
      <c r="G60" s="178">
        <f>G57/$F$58*100</f>
        <v>53.362957494407148</v>
      </c>
      <c r="H60" s="178">
        <f>H57/$F$58*100</f>
        <v>54.894022863534644</v>
      </c>
      <c r="I60" s="178">
        <f>I57/$F$58*100</f>
        <v>56.467711123601738</v>
      </c>
      <c r="J60" s="178">
        <f>J57/$F$58*100</f>
        <v>58.085158385215848</v>
      </c>
      <c r="K60" s="12"/>
      <c r="L60" s="127">
        <f>(G60-F60)/F60</f>
        <v>7.0496984166876178E-2</v>
      </c>
      <c r="M60" s="127">
        <f>(J61-H61)/H61</f>
        <v>5.8132659171551498E-2</v>
      </c>
      <c r="N60" s="38" t="s">
        <v>153</v>
      </c>
      <c r="O60" s="244" t="s">
        <v>153</v>
      </c>
    </row>
    <row r="61" spans="2:15" x14ac:dyDescent="0.2">
      <c r="B61" s="108" t="s">
        <v>117</v>
      </c>
      <c r="C61" s="109">
        <f>C60</f>
        <v>53.108108108108112</v>
      </c>
      <c r="D61" s="109">
        <f>D57/D58*100</f>
        <v>50.067476383265856</v>
      </c>
      <c r="E61" s="109">
        <f>E57/E59*100</f>
        <v>50.066934404283799</v>
      </c>
      <c r="F61" s="178">
        <f>F57/$F$59*100</f>
        <v>49.715305667112879</v>
      </c>
      <c r="G61" s="178">
        <f>G57/$F$59*100</f>
        <v>53.220084783578748</v>
      </c>
      <c r="H61" s="178">
        <f>H57/$F$59*100</f>
        <v>54.747050914770156</v>
      </c>
      <c r="I61" s="178">
        <f>I57/$F$59*100</f>
        <v>56.316525819388616</v>
      </c>
      <c r="J61" s="178">
        <f>J57/$F$59*100</f>
        <v>57.929642566246066</v>
      </c>
      <c r="K61" s="12"/>
      <c r="L61" s="177">
        <f>(G61-F61)/F61</f>
        <v>7.0496984166876234E-2</v>
      </c>
      <c r="M61" s="175">
        <f>(J61-H61)/H61</f>
        <v>5.8132659171551498E-2</v>
      </c>
      <c r="N61" s="38" t="s">
        <v>153</v>
      </c>
      <c r="O61" s="38" t="s">
        <v>153</v>
      </c>
    </row>
    <row r="62" spans="2:15" x14ac:dyDescent="0.2">
      <c r="B62" s="11" t="s">
        <v>81</v>
      </c>
      <c r="C62" s="11">
        <v>38.6</v>
      </c>
      <c r="D62" s="11">
        <v>39.6</v>
      </c>
      <c r="E62" s="11">
        <v>40.4</v>
      </c>
      <c r="F62" s="143">
        <f>E62*(1+$L$62)</f>
        <v>42.217999999999996</v>
      </c>
      <c r="G62" s="143">
        <f>F62*(1+$L$62)</f>
        <v>44.117809999999992</v>
      </c>
      <c r="H62" s="143">
        <f>G62*(1+$M$62)</f>
        <v>45.220755249999989</v>
      </c>
      <c r="I62" s="143">
        <f>H62*(1+$M$62)</f>
        <v>46.351274131249987</v>
      </c>
      <c r="J62" s="143">
        <f>I62*(1+$M$62)</f>
        <v>47.510055984531235</v>
      </c>
      <c r="K62" s="12"/>
      <c r="L62" s="176">
        <v>4.4999999999999998E-2</v>
      </c>
      <c r="M62" s="176">
        <v>2.5000000000000001E-2</v>
      </c>
      <c r="N62" s="253" t="s">
        <v>176</v>
      </c>
      <c r="O62" s="237" t="s">
        <v>149</v>
      </c>
    </row>
    <row r="63" spans="2:15" x14ac:dyDescent="0.2">
      <c r="B63" s="11" t="s">
        <v>83</v>
      </c>
      <c r="C63" s="110">
        <f>C62/C60</f>
        <v>0.72681933842239188</v>
      </c>
      <c r="D63" s="110">
        <f>D62/D60</f>
        <v>0.7909326145552561</v>
      </c>
      <c r="E63" s="110">
        <f>E62/E60</f>
        <v>0.80259893048128339</v>
      </c>
      <c r="F63" s="166">
        <f>F62/F60</f>
        <v>0.84692160629016644</v>
      </c>
      <c r="G63" s="166">
        <f t="shared" ref="G63" si="39">G62/G60</f>
        <v>0.82674971687286791</v>
      </c>
      <c r="H63" s="166">
        <f>H62/H60</f>
        <v>0.82378286179567872</v>
      </c>
      <c r="I63" s="166">
        <f>I62/I60</f>
        <v>0.82084563388432796</v>
      </c>
      <c r="J63" s="166">
        <f>J62/J60</f>
        <v>0.81793796049325662</v>
      </c>
      <c r="K63" s="12"/>
      <c r="L63" s="175">
        <f>(G63-F63)/F63</f>
        <v>-2.3817894439674237E-2</v>
      </c>
      <c r="M63" s="139">
        <f>(J63-H63)/H63</f>
        <v>-7.0951965299222266E-3</v>
      </c>
      <c r="N63" s="38" t="s">
        <v>153</v>
      </c>
      <c r="O63" s="37" t="s">
        <v>153</v>
      </c>
    </row>
    <row r="74" spans="15:16" x14ac:dyDescent="0.2">
      <c r="O74" s="230"/>
    </row>
    <row r="78" spans="15:16" x14ac:dyDescent="0.2">
      <c r="P78" s="230"/>
    </row>
  </sheetData>
  <sheetProtection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DE592-A0D4-3245-9E85-E98506A7504D}">
  <dimension ref="A1:O32"/>
  <sheetViews>
    <sheetView topLeftCell="J1" zoomScale="85" workbookViewId="0">
      <selection activeCell="G28" sqref="G28"/>
    </sheetView>
  </sheetViews>
  <sheetFormatPr baseColWidth="10" defaultRowHeight="16" x14ac:dyDescent="0.2"/>
  <cols>
    <col min="2" max="2" width="20.83203125" customWidth="1"/>
    <col min="3" max="3" width="22.5" bestFit="1" customWidth="1"/>
    <col min="4" max="4" width="18.1640625" customWidth="1"/>
    <col min="5" max="5" width="16.33203125" customWidth="1"/>
    <col min="6" max="6" width="17.1640625" customWidth="1"/>
    <col min="7" max="7" width="31" bestFit="1" customWidth="1"/>
    <col min="8" max="8" width="29.6640625" customWidth="1"/>
    <col min="9" max="9" width="29.33203125" customWidth="1"/>
    <col min="10" max="10" width="17.33203125" customWidth="1"/>
    <col min="11" max="12" width="19" customWidth="1"/>
    <col min="13" max="13" width="25.5" customWidth="1"/>
    <col min="14" max="14" width="18.83203125" customWidth="1"/>
    <col min="18" max="18" width="16.6640625" bestFit="1" customWidth="1"/>
    <col min="19" max="19" width="12.6640625" bestFit="1" customWidth="1"/>
  </cols>
  <sheetData>
    <row r="1" spans="1:15" x14ac:dyDescent="0.2">
      <c r="A1" s="15"/>
      <c r="B1" s="15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2">
      <c r="A2" s="11"/>
      <c r="B2" s="11"/>
      <c r="C2" s="11"/>
      <c r="D2" s="11"/>
      <c r="E2" s="11"/>
      <c r="F2" s="15"/>
      <c r="G2" s="11"/>
      <c r="H2" s="11"/>
      <c r="I2" s="11"/>
      <c r="J2" s="11"/>
      <c r="K2" s="11"/>
      <c r="L2" s="11"/>
      <c r="M2" s="11"/>
      <c r="N2" s="11"/>
      <c r="O2" s="11"/>
    </row>
    <row r="3" spans="1:15" x14ac:dyDescent="0.2">
      <c r="A3" s="11"/>
      <c r="B3" s="11"/>
      <c r="C3" s="11"/>
      <c r="D3" s="31"/>
      <c r="E3" s="50" t="s">
        <v>110</v>
      </c>
      <c r="F3" s="31"/>
      <c r="G3" s="11"/>
      <c r="H3" s="11"/>
      <c r="I3" s="11"/>
      <c r="J3" s="31"/>
      <c r="K3" s="31"/>
      <c r="L3" s="50" t="s">
        <v>70</v>
      </c>
      <c r="M3" s="31"/>
      <c r="N3" s="31"/>
      <c r="O3" s="11"/>
    </row>
    <row r="4" spans="1:15" x14ac:dyDescent="0.2">
      <c r="A4" s="11"/>
      <c r="B4" s="11"/>
      <c r="C4" s="11"/>
      <c r="D4" s="11"/>
      <c r="E4" s="11"/>
      <c r="F4" s="11"/>
      <c r="G4" s="11"/>
      <c r="I4" s="11"/>
      <c r="J4" s="11"/>
      <c r="K4" s="11"/>
      <c r="L4" s="11"/>
      <c r="M4" s="11"/>
      <c r="N4" s="11"/>
      <c r="O4" s="11"/>
    </row>
    <row r="5" spans="1:15" x14ac:dyDescent="0.2">
      <c r="B5" s="11"/>
      <c r="C5" s="11"/>
      <c r="D5" s="11"/>
      <c r="E5" s="76">
        <v>0</v>
      </c>
      <c r="F5" s="11"/>
      <c r="G5" s="11"/>
      <c r="H5" s="11"/>
      <c r="I5" s="11"/>
      <c r="J5" s="76">
        <v>1</v>
      </c>
      <c r="K5" s="76">
        <v>2</v>
      </c>
      <c r="L5" s="76">
        <v>3</v>
      </c>
      <c r="M5" s="76">
        <v>4</v>
      </c>
      <c r="N5" s="76">
        <v>5</v>
      </c>
      <c r="O5" s="11"/>
    </row>
    <row r="6" spans="1:15" x14ac:dyDescent="0.2">
      <c r="B6" s="11"/>
      <c r="C6" s="11"/>
      <c r="D6" s="11"/>
      <c r="E6" s="11"/>
      <c r="F6" s="11"/>
      <c r="G6" s="11"/>
      <c r="H6" s="15"/>
      <c r="I6" s="11"/>
      <c r="J6" s="11"/>
      <c r="K6" s="11"/>
      <c r="L6" s="11"/>
      <c r="M6" s="11"/>
      <c r="N6" s="11"/>
      <c r="O6" s="11"/>
    </row>
    <row r="7" spans="1:15" x14ac:dyDescent="0.2">
      <c r="B7" s="11"/>
      <c r="C7" s="11"/>
      <c r="D7" s="30"/>
      <c r="E7" s="39">
        <v>2025</v>
      </c>
      <c r="F7" s="30"/>
      <c r="G7" s="11"/>
      <c r="H7" s="11"/>
      <c r="J7" s="39">
        <v>2026</v>
      </c>
      <c r="K7" s="39">
        <v>2027</v>
      </c>
      <c r="L7" s="39">
        <v>2028</v>
      </c>
      <c r="M7" s="39">
        <v>2029</v>
      </c>
      <c r="N7" s="39">
        <v>2030</v>
      </c>
      <c r="O7" s="11"/>
    </row>
    <row r="8" spans="1:15" ht="17" thickBot="1" x14ac:dyDescent="0.25">
      <c r="B8" s="11"/>
      <c r="C8" s="11"/>
      <c r="D8" s="11"/>
      <c r="E8" s="11"/>
      <c r="F8" s="11"/>
      <c r="G8" s="11"/>
      <c r="H8" s="11"/>
      <c r="I8" s="15"/>
      <c r="J8" s="15"/>
      <c r="K8" s="15"/>
      <c r="L8" s="75"/>
      <c r="M8" s="49"/>
      <c r="N8" s="15"/>
      <c r="O8" s="11"/>
    </row>
    <row r="9" spans="1:15" ht="17" thickBot="1" x14ac:dyDescent="0.25">
      <c r="B9" s="11"/>
      <c r="C9" s="11"/>
      <c r="D9" s="84" t="s">
        <v>39</v>
      </c>
      <c r="E9" s="85" t="s">
        <v>40</v>
      </c>
      <c r="F9" s="83" t="s">
        <v>41</v>
      </c>
      <c r="G9" s="11"/>
      <c r="H9" s="11"/>
      <c r="I9" s="32" t="s">
        <v>47</v>
      </c>
      <c r="J9" s="221">
        <f>'LAND Income Statement'!F61</f>
        <v>49.715305667112879</v>
      </c>
      <c r="K9" s="217">
        <f>'LAND Income Statement'!G61</f>
        <v>53.220084783578748</v>
      </c>
      <c r="L9" s="218">
        <f>'LAND Income Statement'!H61</f>
        <v>54.747050914770156</v>
      </c>
      <c r="M9" s="219">
        <f>'LAND Income Statement'!I61</f>
        <v>56.316525819388616</v>
      </c>
      <c r="N9" s="220">
        <f>'LAND Income Statement'!J61</f>
        <v>57.929642566246066</v>
      </c>
      <c r="O9" s="11"/>
    </row>
    <row r="10" spans="1:15" ht="17" thickBot="1" x14ac:dyDescent="0.25">
      <c r="B10" s="12"/>
      <c r="C10" s="46" t="s">
        <v>42</v>
      </c>
      <c r="D10" s="51" t="s">
        <v>49</v>
      </c>
      <c r="E10" s="51" t="s">
        <v>49</v>
      </c>
      <c r="F10" s="36" t="s">
        <v>49</v>
      </c>
      <c r="G10" s="11"/>
      <c r="H10" s="11"/>
      <c r="I10" s="26" t="s">
        <v>74</v>
      </c>
      <c r="J10" s="86"/>
      <c r="K10" s="87"/>
      <c r="L10" s="92"/>
      <c r="M10" s="92"/>
      <c r="N10" s="222" t="str">
        <f>F27</f>
        <v>15.88 x</v>
      </c>
      <c r="O10" s="11"/>
    </row>
    <row r="11" spans="1:15" x14ac:dyDescent="0.2">
      <c r="B11" s="49"/>
      <c r="C11" s="62" t="s">
        <v>48</v>
      </c>
      <c r="D11" s="207">
        <v>10900</v>
      </c>
      <c r="E11" s="207">
        <v>8683</v>
      </c>
      <c r="F11" s="208">
        <v>5094</v>
      </c>
      <c r="G11" s="11"/>
      <c r="H11" s="11"/>
      <c r="I11" s="11"/>
      <c r="J11" s="11"/>
      <c r="K11" s="11"/>
      <c r="L11" s="11"/>
      <c r="M11" s="11"/>
      <c r="N11" s="11"/>
      <c r="O11" s="15"/>
    </row>
    <row r="12" spans="1:15" x14ac:dyDescent="0.2">
      <c r="B12" s="12"/>
      <c r="C12" s="32" t="s">
        <v>60</v>
      </c>
      <c r="D12" s="209">
        <v>4341</v>
      </c>
      <c r="E12" s="57">
        <v>3614</v>
      </c>
      <c r="F12" s="210">
        <v>1450</v>
      </c>
      <c r="G12" s="11"/>
      <c r="H12" s="11"/>
      <c r="I12" s="11"/>
      <c r="J12" s="11"/>
      <c r="K12" s="11"/>
      <c r="L12" s="11"/>
      <c r="M12" s="11"/>
      <c r="N12" s="12"/>
      <c r="O12" s="11"/>
    </row>
    <row r="13" spans="1:15" ht="17" thickBot="1" x14ac:dyDescent="0.25">
      <c r="B13" s="63"/>
      <c r="C13" s="35" t="s">
        <v>50</v>
      </c>
      <c r="D13" s="211">
        <v>6511</v>
      </c>
      <c r="E13" s="212">
        <v>5180</v>
      </c>
      <c r="F13" s="213">
        <v>3615</v>
      </c>
      <c r="G13" s="11"/>
      <c r="H13" s="11"/>
      <c r="I13" s="12"/>
      <c r="J13" s="11"/>
      <c r="K13" s="11"/>
      <c r="L13" s="11"/>
      <c r="M13" s="11"/>
      <c r="N13" s="11"/>
      <c r="O13" s="11"/>
    </row>
    <row r="14" spans="1:15" x14ac:dyDescent="0.2">
      <c r="B14" s="12"/>
      <c r="C14" s="47" t="s">
        <v>43</v>
      </c>
      <c r="D14" s="41" t="s">
        <v>49</v>
      </c>
      <c r="E14" s="41" t="s">
        <v>49</v>
      </c>
      <c r="F14" s="41" t="s">
        <v>49</v>
      </c>
      <c r="G14" s="11"/>
      <c r="H14" s="11"/>
      <c r="I14" s="32" t="s">
        <v>75</v>
      </c>
      <c r="J14" s="88">
        <v>920</v>
      </c>
      <c r="K14" s="11"/>
      <c r="L14" s="11"/>
      <c r="M14" s="50" t="s">
        <v>80</v>
      </c>
      <c r="N14" s="31" t="s">
        <v>79</v>
      </c>
      <c r="O14" s="11"/>
    </row>
    <row r="15" spans="1:15" x14ac:dyDescent="0.2">
      <c r="B15" s="12"/>
      <c r="C15" s="33" t="s">
        <v>44</v>
      </c>
      <c r="D15" s="57">
        <f>'LAND Income Statement'!E10</f>
        <v>636</v>
      </c>
      <c r="E15" s="58">
        <v>484</v>
      </c>
      <c r="F15" s="60">
        <v>218</v>
      </c>
      <c r="G15" s="11"/>
      <c r="H15" s="18"/>
      <c r="I15" s="26" t="s">
        <v>76</v>
      </c>
      <c r="J15" s="89">
        <f>N18</f>
        <v>0.10025000000000001</v>
      </c>
      <c r="K15" s="11"/>
      <c r="L15" s="11"/>
      <c r="M15" s="77" t="s">
        <v>71</v>
      </c>
      <c r="N15" s="80">
        <v>4.8000000000000001E-2</v>
      </c>
      <c r="O15" s="11"/>
    </row>
    <row r="16" spans="1:15" ht="17" thickBot="1" x14ac:dyDescent="0.25">
      <c r="B16" s="12"/>
      <c r="C16" s="33" t="s">
        <v>45</v>
      </c>
      <c r="D16" s="57">
        <f>'LAND Income Statement'!E23-'LAND Income Statement'!E22</f>
        <v>482</v>
      </c>
      <c r="E16" s="59">
        <v>349</v>
      </c>
      <c r="F16" s="57">
        <v>161</v>
      </c>
      <c r="G16" s="11"/>
      <c r="H16" s="11"/>
      <c r="I16" s="32" t="s">
        <v>77</v>
      </c>
      <c r="J16" s="223">
        <f>J14/((1+J15)^5)</f>
        <v>570.59891455913316</v>
      </c>
      <c r="K16" s="11"/>
      <c r="L16" s="11"/>
      <c r="M16" s="33" t="s">
        <v>72</v>
      </c>
      <c r="N16" s="34">
        <v>0.95</v>
      </c>
      <c r="O16" s="11"/>
    </row>
    <row r="17" spans="1:15" ht="17" thickBot="1" x14ac:dyDescent="0.25">
      <c r="B17" s="12"/>
      <c r="C17" s="33" t="s">
        <v>51</v>
      </c>
      <c r="D17" s="57">
        <f>'LAND Income Statement'!E57</f>
        <v>374</v>
      </c>
      <c r="E17" s="60">
        <v>279</v>
      </c>
      <c r="F17" s="57">
        <v>110</v>
      </c>
      <c r="G17" s="11"/>
      <c r="H17" s="11"/>
      <c r="I17" s="90" t="s">
        <v>59</v>
      </c>
      <c r="J17" s="91">
        <f>(_xlfn.CEILING.MATH(J16*D20))/100</f>
        <v>4262.38</v>
      </c>
      <c r="K17" s="11"/>
      <c r="L17" s="11"/>
      <c r="M17" s="81" t="s">
        <v>73</v>
      </c>
      <c r="N17" s="82">
        <v>5.5E-2</v>
      </c>
      <c r="O17" s="11"/>
    </row>
    <row r="18" spans="1:15" ht="17" thickBot="1" x14ac:dyDescent="0.25">
      <c r="B18" s="49"/>
      <c r="C18" s="43" t="s">
        <v>46</v>
      </c>
      <c r="D18" s="55"/>
      <c r="E18" s="56"/>
      <c r="F18" s="56"/>
      <c r="G18" s="11"/>
      <c r="H18" s="11"/>
      <c r="I18" s="11"/>
      <c r="J18" s="11"/>
      <c r="K18" s="11"/>
      <c r="L18" s="11"/>
      <c r="M18" s="78" t="s">
        <v>78</v>
      </c>
      <c r="N18" s="79">
        <f>N15+N16*N17</f>
        <v>0.10025000000000001</v>
      </c>
      <c r="O18" s="11"/>
    </row>
    <row r="19" spans="1:15" ht="15" customHeight="1" x14ac:dyDescent="0.2">
      <c r="B19" s="12"/>
      <c r="C19" s="48" t="s">
        <v>53</v>
      </c>
      <c r="D19" s="61">
        <v>551</v>
      </c>
      <c r="E19" s="42">
        <v>370.4</v>
      </c>
      <c r="F19" s="59">
        <v>1846</v>
      </c>
      <c r="G19" s="11"/>
      <c r="H19" s="11"/>
      <c r="I19" s="11"/>
      <c r="J19" s="11"/>
      <c r="K19" s="11"/>
      <c r="L19" s="11"/>
      <c r="M19" s="11"/>
      <c r="N19" s="11"/>
      <c r="O19" s="11"/>
    </row>
    <row r="20" spans="1:15" x14ac:dyDescent="0.2">
      <c r="B20" s="63"/>
      <c r="C20" s="33" t="s">
        <v>52</v>
      </c>
      <c r="D20" s="57">
        <f>'LAND Income Statement'!E59</f>
        <v>747</v>
      </c>
      <c r="E20" s="60">
        <v>999</v>
      </c>
      <c r="F20" s="60">
        <v>112</v>
      </c>
      <c r="G20" s="11"/>
      <c r="H20" s="11"/>
      <c r="I20" s="182" t="s">
        <v>137</v>
      </c>
      <c r="J20" s="183">
        <f>(J17-D22)/J17</f>
        <v>3.4349354116714102E-2</v>
      </c>
      <c r="K20" s="11"/>
      <c r="L20" s="11"/>
      <c r="M20" s="11"/>
      <c r="N20" s="11"/>
      <c r="O20" s="11"/>
    </row>
    <row r="21" spans="1:15" x14ac:dyDescent="0.2">
      <c r="B21" s="24"/>
      <c r="C21" s="32" t="s">
        <v>47</v>
      </c>
      <c r="D21" s="40">
        <f>'LAND Income Statement'!E61</f>
        <v>50.066934404283799</v>
      </c>
      <c r="E21" s="64">
        <v>28.5</v>
      </c>
      <c r="F21" s="65">
        <v>98.4</v>
      </c>
      <c r="G21" s="11"/>
      <c r="H21" s="11"/>
      <c r="I21" s="11"/>
      <c r="J21" s="11"/>
      <c r="K21" s="11"/>
      <c r="L21" s="11"/>
      <c r="M21" s="11"/>
      <c r="N21" s="11"/>
      <c r="O21" s="11"/>
    </row>
    <row r="22" spans="1:15" x14ac:dyDescent="0.2">
      <c r="B22" s="49"/>
      <c r="C22" s="70" t="str">
        <f>C30</f>
        <v>Market Cap (in £M)</v>
      </c>
      <c r="D22" s="181">
        <f>(D19*D20)/100</f>
        <v>4115.97</v>
      </c>
      <c r="E22" s="65">
        <f>(E20*E19)/100</f>
        <v>3700.2959999999998</v>
      </c>
      <c r="F22" s="206">
        <f>(F19*F20)/100</f>
        <v>2067.52</v>
      </c>
      <c r="G22" s="24"/>
      <c r="H22" s="11"/>
    </row>
    <row r="23" spans="1:15" x14ac:dyDescent="0.2">
      <c r="B23" s="12"/>
      <c r="C23" s="66"/>
      <c r="D23" s="49"/>
      <c r="E23" s="49"/>
      <c r="F23" s="15"/>
      <c r="G23" s="49"/>
      <c r="H23" s="15"/>
      <c r="J23" s="180"/>
    </row>
    <row r="24" spans="1:15" x14ac:dyDescent="0.2">
      <c r="B24" s="15"/>
      <c r="C24" s="11"/>
      <c r="D24" s="11"/>
      <c r="E24" s="11"/>
      <c r="F24" s="11"/>
      <c r="G24" s="49"/>
      <c r="H24" s="11"/>
    </row>
    <row r="25" spans="1:15" x14ac:dyDescent="0.2">
      <c r="B25" s="11"/>
      <c r="C25" s="11"/>
      <c r="D25" s="11"/>
      <c r="E25" s="11"/>
      <c r="F25" s="11"/>
      <c r="G25" s="11"/>
      <c r="H25" s="11"/>
    </row>
    <row r="26" spans="1:15" x14ac:dyDescent="0.2">
      <c r="B26" s="18"/>
      <c r="C26" s="43" t="s">
        <v>55</v>
      </c>
      <c r="D26" s="44" t="str">
        <f>E9</f>
        <v>British Land</v>
      </c>
      <c r="E26" s="45" t="str">
        <f>F9</f>
        <v>Derwent London</v>
      </c>
      <c r="F26" s="50" t="s">
        <v>58</v>
      </c>
      <c r="G26" s="51" t="s">
        <v>59</v>
      </c>
      <c r="H26" s="11"/>
    </row>
    <row r="27" spans="1:15" x14ac:dyDescent="0.2">
      <c r="B27" s="11"/>
      <c r="C27" s="33" t="s">
        <v>61</v>
      </c>
      <c r="D27" s="53" t="s">
        <v>139</v>
      </c>
      <c r="E27" s="54" t="s">
        <v>69</v>
      </c>
      <c r="F27" s="54" t="s">
        <v>68</v>
      </c>
      <c r="G27" s="57">
        <v>5939</v>
      </c>
      <c r="H27" s="11"/>
    </row>
    <row r="28" spans="1:15" x14ac:dyDescent="0.2">
      <c r="B28" s="11"/>
      <c r="C28" s="26" t="s">
        <v>56</v>
      </c>
      <c r="D28" s="67" t="s">
        <v>62</v>
      </c>
      <c r="E28" s="67" t="s">
        <v>66</v>
      </c>
      <c r="F28" s="37" t="s">
        <v>67</v>
      </c>
      <c r="G28" s="61">
        <v>4167</v>
      </c>
      <c r="H28" s="11"/>
    </row>
    <row r="29" spans="1:15" x14ac:dyDescent="0.2">
      <c r="A29" s="11"/>
      <c r="B29" s="11"/>
      <c r="C29" s="33" t="s">
        <v>57</v>
      </c>
      <c r="D29" s="68" t="s">
        <v>63</v>
      </c>
      <c r="E29" s="38" t="s">
        <v>65</v>
      </c>
      <c r="F29" s="37" t="s">
        <v>64</v>
      </c>
      <c r="G29" s="61">
        <v>5969</v>
      </c>
      <c r="H29" s="11"/>
    </row>
    <row r="30" spans="1:15" x14ac:dyDescent="0.2">
      <c r="B30" s="15"/>
      <c r="C30" s="69" t="s">
        <v>54</v>
      </c>
      <c r="D30" s="214">
        <f>E22</f>
        <v>3700.2959999999998</v>
      </c>
      <c r="E30" s="215">
        <f>F22</f>
        <v>2067.52</v>
      </c>
      <c r="F30" s="214">
        <f>AVERAGE(D30:E30)</f>
        <v>2883.9079999999999</v>
      </c>
      <c r="G30" s="216">
        <f>AVERAGE(G27:G29)</f>
        <v>5358.333333333333</v>
      </c>
      <c r="H30" s="11"/>
    </row>
    <row r="31" spans="1:15" x14ac:dyDescent="0.2">
      <c r="B31" s="11"/>
      <c r="C31" s="11"/>
      <c r="D31" s="11"/>
      <c r="E31" s="11"/>
      <c r="F31" s="11"/>
      <c r="G31" s="11"/>
      <c r="H31" s="11"/>
    </row>
    <row r="32" spans="1:15" x14ac:dyDescent="0.2">
      <c r="B32" s="11"/>
      <c r="C32" s="11"/>
      <c r="D32" s="11"/>
      <c r="E32" s="11"/>
      <c r="F32" s="11"/>
      <c r="G32" s="11"/>
      <c r="H32" s="11"/>
    </row>
  </sheetData>
  <sheetProtection sheet="1" objects="1" scenarios="1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735AD-AE75-034A-98A8-1117D17DA843}">
  <dimension ref="B6:L25"/>
  <sheetViews>
    <sheetView zoomScale="114" zoomScaleNormal="140" workbookViewId="0">
      <selection activeCell="H3" sqref="H3"/>
    </sheetView>
  </sheetViews>
  <sheetFormatPr baseColWidth="10" defaultRowHeight="16" x14ac:dyDescent="0.2"/>
  <cols>
    <col min="3" max="3" width="29.1640625" customWidth="1"/>
    <col min="4" max="4" width="15.5" customWidth="1"/>
    <col min="5" max="5" width="14.6640625" customWidth="1"/>
    <col min="6" max="6" width="14.83203125" customWidth="1"/>
    <col min="7" max="8" width="14.6640625" customWidth="1"/>
    <col min="9" max="9" width="14.33203125" customWidth="1"/>
    <col min="10" max="10" width="14" customWidth="1"/>
    <col min="11" max="11" width="13.83203125" customWidth="1"/>
  </cols>
  <sheetData>
    <row r="6" spans="2:12" x14ac:dyDescent="0.2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2:12" x14ac:dyDescent="0.2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2:12" x14ac:dyDescent="0.2">
      <c r="B8" s="11"/>
      <c r="C8" s="11"/>
      <c r="D8" s="97"/>
      <c r="E8" s="31"/>
      <c r="F8" s="104" t="s">
        <v>110</v>
      </c>
      <c r="G8" s="98"/>
      <c r="H8" s="98"/>
      <c r="I8" s="98" t="s">
        <v>70</v>
      </c>
      <c r="J8" s="98"/>
      <c r="K8" s="98"/>
      <c r="L8" s="11"/>
    </row>
    <row r="9" spans="2:12" x14ac:dyDescent="0.2">
      <c r="B9" s="11"/>
      <c r="C9" s="11"/>
      <c r="D9" s="12"/>
      <c r="E9" s="11"/>
      <c r="F9" s="76">
        <v>0</v>
      </c>
      <c r="G9" s="76">
        <v>1</v>
      </c>
      <c r="H9" s="76">
        <v>2</v>
      </c>
      <c r="I9" s="76">
        <v>3</v>
      </c>
      <c r="J9" s="76">
        <v>4</v>
      </c>
      <c r="K9" s="174">
        <v>5</v>
      </c>
      <c r="L9" s="11"/>
    </row>
    <row r="10" spans="2:12" x14ac:dyDescent="0.2">
      <c r="B10" s="11"/>
      <c r="C10" s="11"/>
      <c r="D10" s="186">
        <v>2023</v>
      </c>
      <c r="E10" s="186">
        <v>2024</v>
      </c>
      <c r="F10" s="188">
        <v>2025</v>
      </c>
      <c r="G10" s="188">
        <v>2026</v>
      </c>
      <c r="H10" s="186">
        <v>2027</v>
      </c>
      <c r="I10" s="188">
        <v>2028</v>
      </c>
      <c r="J10" s="186">
        <v>2029</v>
      </c>
      <c r="K10" s="186">
        <v>2030</v>
      </c>
      <c r="L10" s="11"/>
    </row>
    <row r="11" spans="2:12" x14ac:dyDescent="0.2">
      <c r="B11" s="12"/>
      <c r="C11" s="26" t="s">
        <v>81</v>
      </c>
      <c r="D11" s="26">
        <f>'LAND Income Statement'!C62</f>
        <v>38.6</v>
      </c>
      <c r="E11" s="26">
        <f>'LAND Income Statement'!D62</f>
        <v>39.6</v>
      </c>
      <c r="F11" s="25">
        <f>'LAND Income Statement'!E62</f>
        <v>40.4</v>
      </c>
      <c r="G11" s="190">
        <f>'LAND Income Statement'!F62</f>
        <v>42.217999999999996</v>
      </c>
      <c r="H11" s="184">
        <f>'LAND Income Statement'!G62</f>
        <v>44.117809999999992</v>
      </c>
      <c r="I11" s="190">
        <f>'LAND Income Statement'!H62</f>
        <v>45.220755249999989</v>
      </c>
      <c r="J11" s="184">
        <f>'LAND Income Statement'!I62</f>
        <v>46.351274131249987</v>
      </c>
      <c r="K11" s="184">
        <f>'LAND Income Statement'!J62</f>
        <v>47.510055984531235</v>
      </c>
      <c r="L11" s="11"/>
    </row>
    <row r="12" spans="2:12" x14ac:dyDescent="0.2">
      <c r="B12" s="12"/>
      <c r="C12" s="26" t="s">
        <v>83</v>
      </c>
      <c r="D12" s="187">
        <f>'LAND Income Statement'!C63</f>
        <v>0.72681933842239188</v>
      </c>
      <c r="E12" s="187">
        <f>'LAND Income Statement'!D63</f>
        <v>0.7909326145552561</v>
      </c>
      <c r="F12" s="189">
        <f>'LAND Income Statement'!E63</f>
        <v>0.80259893048128339</v>
      </c>
      <c r="G12" s="89">
        <f>'LAND Income Statement'!F63</f>
        <v>0.84692160629016644</v>
      </c>
      <c r="H12" s="185">
        <f>'LAND Income Statement'!G63</f>
        <v>0.82674971687286791</v>
      </c>
      <c r="I12" s="89">
        <f>'LAND Income Statement'!H63</f>
        <v>0.82378286179567872</v>
      </c>
      <c r="J12" s="185">
        <f>'LAND Income Statement'!I63</f>
        <v>0.82084563388432796</v>
      </c>
      <c r="K12" s="185">
        <f>'LAND Income Statement'!J63</f>
        <v>0.81793796049325662</v>
      </c>
      <c r="L12" s="11"/>
    </row>
    <row r="13" spans="2:12" x14ac:dyDescent="0.2">
      <c r="B13" s="11"/>
      <c r="C13" s="12"/>
      <c r="D13" s="12"/>
      <c r="E13" s="12"/>
      <c r="F13" s="14"/>
      <c r="G13" s="11"/>
      <c r="H13" s="12"/>
      <c r="I13" s="14"/>
      <c r="J13" s="12"/>
      <c r="K13" s="12"/>
      <c r="L13" s="11"/>
    </row>
    <row r="14" spans="2:12" x14ac:dyDescent="0.2">
      <c r="B14" s="11"/>
      <c r="C14" s="11"/>
      <c r="D14" s="11"/>
      <c r="E14" s="12"/>
      <c r="F14" s="14"/>
      <c r="G14" s="11"/>
      <c r="H14" s="11"/>
      <c r="I14" s="11"/>
      <c r="J14" s="12"/>
      <c r="K14" s="12"/>
      <c r="L14" s="11"/>
    </row>
    <row r="15" spans="2:12" x14ac:dyDescent="0.2">
      <c r="B15" s="11"/>
      <c r="C15" s="49"/>
      <c r="D15" s="15"/>
      <c r="E15" s="15"/>
      <c r="F15" s="15"/>
      <c r="G15" s="15"/>
      <c r="H15" s="11"/>
      <c r="I15" s="11"/>
      <c r="J15" s="11"/>
      <c r="K15" s="11"/>
      <c r="L15" s="11"/>
    </row>
    <row r="16" spans="2:12" x14ac:dyDescent="0.2">
      <c r="B16" s="18"/>
      <c r="C16" s="88" t="s">
        <v>132</v>
      </c>
      <c r="D16" s="202"/>
      <c r="E16" s="23"/>
      <c r="F16" s="153"/>
      <c r="G16" s="191">
        <f>'LAND Valuation-Multiples'!$N$18</f>
        <v>0.10025000000000001</v>
      </c>
      <c r="H16" s="199">
        <f>'LAND Valuation-Multiples'!$N$18</f>
        <v>0.10025000000000001</v>
      </c>
      <c r="I16" s="89">
        <f>'LAND Valuation-Multiples'!$N$18</f>
        <v>0.10025000000000001</v>
      </c>
      <c r="J16" s="89">
        <f>'LAND Valuation-Multiples'!$N$18</f>
        <v>0.10025000000000001</v>
      </c>
      <c r="K16" s="89">
        <f>'LAND Valuation-Multiples'!$N$18</f>
        <v>0.10025000000000001</v>
      </c>
      <c r="L16" s="11"/>
    </row>
    <row r="17" spans="2:12" x14ac:dyDescent="0.2">
      <c r="B17" s="11"/>
      <c r="C17" s="25" t="s">
        <v>131</v>
      </c>
      <c r="D17" s="204"/>
      <c r="E17" s="201"/>
      <c r="F17" s="201"/>
      <c r="G17" s="203"/>
      <c r="H17" s="203"/>
      <c r="I17" s="203"/>
      <c r="J17" s="26"/>
      <c r="K17" s="194">
        <v>0.02</v>
      </c>
      <c r="L17" s="11"/>
    </row>
    <row r="18" spans="2:12" x14ac:dyDescent="0.2">
      <c r="B18" s="11"/>
      <c r="C18" s="33" t="s">
        <v>138</v>
      </c>
      <c r="D18" s="205"/>
      <c r="E18" s="201"/>
      <c r="F18" s="26"/>
      <c r="G18" s="200">
        <f>(G11)/((1+$G$16)^G9)</f>
        <v>38.371279254714835</v>
      </c>
      <c r="H18" s="195">
        <f>(H11)/((1+$G$16)^H9)</f>
        <v>36.44443246641854</v>
      </c>
      <c r="I18" s="195">
        <f>(I11)/((1+$G$16)^I9)</f>
        <v>33.951868464511705</v>
      </c>
      <c r="J18" s="195">
        <f>(J11)/((1+$G$16)^J9)</f>
        <v>31.629779755623268</v>
      </c>
      <c r="K18" s="195">
        <f>(K11)/((1+$G$16)^K9)</f>
        <v>29.46650692980127</v>
      </c>
      <c r="L18" s="11"/>
    </row>
    <row r="19" spans="2:12" x14ac:dyDescent="0.2">
      <c r="B19" s="11"/>
      <c r="C19" s="25" t="s">
        <v>135</v>
      </c>
      <c r="D19" s="195">
        <f>SUM(G18:K18)</f>
        <v>169.8638668710696</v>
      </c>
      <c r="E19" s="63"/>
      <c r="F19" s="63"/>
      <c r="G19" s="75"/>
      <c r="H19" s="63"/>
      <c r="I19" s="63"/>
      <c r="J19" s="63"/>
      <c r="K19" s="63"/>
      <c r="L19" s="11"/>
    </row>
    <row r="20" spans="2:12" x14ac:dyDescent="0.2">
      <c r="B20" s="11"/>
      <c r="C20" s="25" t="s">
        <v>136</v>
      </c>
      <c r="D20" s="195">
        <f>(K11*(1+K17))/(G16-K17)</f>
        <v>603.86613213983628</v>
      </c>
      <c r="E20" s="63"/>
      <c r="F20" s="63"/>
      <c r="G20" s="63"/>
      <c r="H20" s="63"/>
      <c r="I20" s="63"/>
      <c r="J20" s="63"/>
      <c r="K20" s="63"/>
      <c r="L20" s="11"/>
    </row>
    <row r="21" spans="2:12" ht="17" thickBot="1" x14ac:dyDescent="0.25">
      <c r="B21" s="11"/>
      <c r="C21" s="152" t="s">
        <v>133</v>
      </c>
      <c r="D21" s="196">
        <f>D20+D19</f>
        <v>773.72999901090589</v>
      </c>
      <c r="E21" s="11"/>
      <c r="F21" s="11"/>
      <c r="G21" s="11"/>
      <c r="H21" s="11"/>
      <c r="I21" s="11"/>
      <c r="J21" s="11"/>
      <c r="K21" s="12"/>
      <c r="L21" s="11"/>
    </row>
    <row r="22" spans="2:12" ht="17" thickBot="1" x14ac:dyDescent="0.25">
      <c r="B22" s="11"/>
      <c r="C22" s="197" t="s">
        <v>134</v>
      </c>
      <c r="D22" s="198">
        <f>(D21*'LAND Income Statement'!E59)/100</f>
        <v>5779.7630926114671</v>
      </c>
      <c r="E22" s="11"/>
      <c r="F22" s="11"/>
      <c r="G22" s="11"/>
      <c r="H22" s="11"/>
      <c r="I22" s="11"/>
      <c r="J22" s="11"/>
      <c r="K22" s="12"/>
      <c r="L22" s="11"/>
    </row>
    <row r="23" spans="2:12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2:12" x14ac:dyDescent="0.2">
      <c r="B24" s="11"/>
      <c r="C24" s="182" t="s">
        <v>137</v>
      </c>
      <c r="D24" s="183">
        <f>(D22-'LAND Valuation-Multiples'!D22)/'LAND Valuation-DDM'!D22</f>
        <v>0.28786527509031795</v>
      </c>
      <c r="E24" s="11"/>
      <c r="F24" s="11"/>
      <c r="G24" s="11"/>
      <c r="H24" s="11"/>
      <c r="I24" s="11"/>
      <c r="J24" s="11"/>
      <c r="K24" s="11"/>
      <c r="L24" s="11"/>
    </row>
    <row r="25" spans="2:12" x14ac:dyDescent="0.2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</sheetData>
  <sheetProtection sheet="1" objects="1" scenarios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F21E-5900-9543-8EA7-FD0E0BE80A63}">
  <dimension ref="C8:K19"/>
  <sheetViews>
    <sheetView workbookViewId="0">
      <selection activeCell="L25" sqref="L25"/>
    </sheetView>
  </sheetViews>
  <sheetFormatPr baseColWidth="10" defaultRowHeight="16" x14ac:dyDescent="0.2"/>
  <cols>
    <col min="4" max="4" width="40.33203125" bestFit="1" customWidth="1"/>
    <col min="9" max="9" width="14.33203125" bestFit="1" customWidth="1"/>
    <col min="10" max="10" width="14.1640625" bestFit="1" customWidth="1"/>
  </cols>
  <sheetData>
    <row r="8" spans="3:11" x14ac:dyDescent="0.2">
      <c r="C8" s="11"/>
      <c r="D8" s="11"/>
      <c r="E8" s="11"/>
      <c r="F8" s="11"/>
      <c r="G8" s="11"/>
      <c r="H8" s="11"/>
      <c r="I8" s="11"/>
      <c r="J8" s="11"/>
      <c r="K8" s="11"/>
    </row>
    <row r="9" spans="3:11" ht="17" thickBot="1" x14ac:dyDescent="0.25">
      <c r="C9" s="11"/>
      <c r="D9" s="11"/>
      <c r="E9" s="11"/>
      <c r="F9" s="11"/>
      <c r="G9" s="11"/>
      <c r="H9" s="11"/>
      <c r="I9" s="11"/>
      <c r="J9" s="11"/>
      <c r="K9" s="11"/>
    </row>
    <row r="10" spans="3:11" ht="17" thickBot="1" x14ac:dyDescent="0.25">
      <c r="C10" s="11"/>
      <c r="D10" s="224" t="s">
        <v>140</v>
      </c>
      <c r="E10" s="225"/>
      <c r="F10" s="225"/>
      <c r="G10" s="225"/>
      <c r="H10" s="225"/>
      <c r="I10" s="225" t="s">
        <v>142</v>
      </c>
      <c r="J10" s="52" t="s">
        <v>141</v>
      </c>
      <c r="K10" s="11"/>
    </row>
    <row r="11" spans="3:11" x14ac:dyDescent="0.2">
      <c r="C11" s="11"/>
      <c r="D11" s="23"/>
      <c r="E11" s="23"/>
      <c r="F11" s="23"/>
      <c r="G11" s="23"/>
      <c r="H11" s="23"/>
      <c r="I11" s="23"/>
      <c r="J11" s="23"/>
      <c r="K11" s="11"/>
    </row>
    <row r="12" spans="3:11" x14ac:dyDescent="0.2">
      <c r="C12" s="11"/>
      <c r="D12" s="23" t="s">
        <v>146</v>
      </c>
      <c r="E12" s="23"/>
      <c r="F12" s="23"/>
      <c r="G12" s="23"/>
      <c r="H12" s="23"/>
      <c r="I12" s="193">
        <f>'LAND Valuation-Multiples'!J16</f>
        <v>570.59891455913316</v>
      </c>
      <c r="J12" s="192">
        <v>0.5</v>
      </c>
      <c r="K12" s="11"/>
    </row>
    <row r="13" spans="3:11" x14ac:dyDescent="0.2">
      <c r="C13" s="11"/>
      <c r="D13" s="23" t="s">
        <v>147</v>
      </c>
      <c r="E13" s="23"/>
      <c r="F13" s="23"/>
      <c r="G13" s="23"/>
      <c r="H13" s="23"/>
      <c r="I13" s="193">
        <f>'LAND Valuation-DDM'!D21</f>
        <v>773.72999901090589</v>
      </c>
      <c r="J13" s="192">
        <f>J12</f>
        <v>0.5</v>
      </c>
      <c r="K13" s="11"/>
    </row>
    <row r="14" spans="3:11" x14ac:dyDescent="0.2">
      <c r="C14" s="11"/>
      <c r="D14" s="226" t="s">
        <v>143</v>
      </c>
      <c r="E14" s="226"/>
      <c r="F14" s="226"/>
      <c r="G14" s="226"/>
      <c r="H14" s="226"/>
      <c r="I14" s="227">
        <f>((I12*J12)+(I13*J13))/(J12+J13)</f>
        <v>672.16445678501952</v>
      </c>
      <c r="J14" s="228">
        <f>J13+J12</f>
        <v>1</v>
      </c>
      <c r="K14" s="11"/>
    </row>
    <row r="15" spans="3:11" x14ac:dyDescent="0.2">
      <c r="C15" s="11"/>
      <c r="D15" s="23"/>
      <c r="E15" s="23"/>
      <c r="F15" s="23"/>
      <c r="G15" s="23"/>
      <c r="H15" s="23"/>
      <c r="I15" s="23"/>
      <c r="J15" s="23"/>
      <c r="K15" s="11"/>
    </row>
    <row r="16" spans="3:11" x14ac:dyDescent="0.2">
      <c r="C16" s="11"/>
      <c r="D16" s="23" t="s">
        <v>145</v>
      </c>
      <c r="E16" s="23"/>
      <c r="F16" s="23"/>
      <c r="G16" s="23"/>
      <c r="H16" s="23"/>
      <c r="I16" s="120">
        <f>'LAND Valuation-Multiples'!D19</f>
        <v>551</v>
      </c>
      <c r="J16" s="23"/>
      <c r="K16" s="11"/>
    </row>
    <row r="17" spans="3:11" x14ac:dyDescent="0.2">
      <c r="C17" s="11"/>
      <c r="D17" s="182" t="s">
        <v>144</v>
      </c>
      <c r="E17" s="182"/>
      <c r="F17" s="182"/>
      <c r="G17" s="182"/>
      <c r="H17" s="182"/>
      <c r="I17" s="183">
        <f>(I14-I16)/I14</f>
        <v>0.18026013658108664</v>
      </c>
      <c r="J17" s="182"/>
      <c r="K17" s="11"/>
    </row>
    <row r="18" spans="3:11" x14ac:dyDescent="0.2">
      <c r="C18" s="11"/>
      <c r="D18" s="11"/>
      <c r="E18" s="11"/>
      <c r="F18" s="11"/>
      <c r="G18" s="11"/>
      <c r="H18" s="11"/>
      <c r="I18" s="11"/>
      <c r="J18" s="11"/>
      <c r="K18" s="11"/>
    </row>
    <row r="19" spans="3:11" x14ac:dyDescent="0.2">
      <c r="C19" s="11"/>
      <c r="D19" s="11"/>
      <c r="E19" s="11"/>
      <c r="F19" s="11"/>
      <c r="G19" s="11"/>
      <c r="H19" s="11"/>
      <c r="I19" s="11"/>
      <c r="J19" s="11"/>
      <c r="K19" s="1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LAND generalities</vt:lpstr>
      <vt:lpstr>LAND Income Statement</vt:lpstr>
      <vt:lpstr>LAND Valuation-Multiples</vt:lpstr>
      <vt:lpstr>LAND Valuation-DDM</vt:lpstr>
      <vt:lpstr>LAND Final 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Raffaele</dc:creator>
  <cp:lastModifiedBy>Raffaele</cp:lastModifiedBy>
  <dcterms:created xsi:type="dcterms:W3CDTF">2026-04-03T09:38:09Z</dcterms:created>
  <dcterms:modified xsi:type="dcterms:W3CDTF">2026-10-01T17:52:16Z</dcterms:modified>
</cp:coreProperties>
</file>